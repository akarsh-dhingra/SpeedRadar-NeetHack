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ase vs Growth vs Downside key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;(&quot;$&quot;#,##0)"/>
    <numFmt numFmtId="166" formatCode="0.0%"/>
    <numFmt numFmtId="167" formatCode="#,##0.0;(#,##0.0)"/>
    <numFmt numFmtId="168" formatCode="&quot;$&quot;#,##0.00;(&quot;$&quot;#,##0.00)"/>
    <numFmt numFmtId="169" formatCode="0%"/>
    <numFmt numFmtId="170" formatCode="&quot;$&quot;#,##0.0000;(&quot;$&quot;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5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8" fontId="3" fillId="5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2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Base vs Growth vs Downside: key metrics</t>
        </is>
      </c>
    </row>
    <row r="2" ht="20" customHeight="1">
      <c r="A2" t="inlineStr" s="2">
        <is>
          <t xml:space="preserve">Summary · Downside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  <c r="T4" t="inlineStr" s="4">
        <is>
          <t xml:space="preserve">2028-05</t>
        </is>
      </c>
      <c r="U4" t="inlineStr" s="4">
        <is>
          <t xml:space="preserve">2028-06</t>
        </is>
      </c>
      <c r="V4" t="inlineStr" s="5">
        <is>
          <t xml:space="preserve">2028-07</t>
        </is>
      </c>
      <c r="W4" t="inlineStr" s="4">
        <is>
          <t xml:space="preserve">2028-08</t>
        </is>
      </c>
      <c r="X4" t="inlineStr" s="4">
        <is>
          <t xml:space="preserve">2028-09</t>
        </is>
      </c>
      <c r="Y4" t="inlineStr" s="5">
        <is>
          <t xml:space="preserve">2028-10</t>
        </is>
      </c>
    </row>
    <row r="5">
      <c r="A5" t="inlineStr" s="6">
        <is>
          <t xml:space="preserve">Customers</t>
        </is>
      </c>
      <c r="B5" s="7">
        <f>SUM('Model inputs'!B7,'Model inputs'!B8)</f>
        <v>0</v>
      </c>
      <c r="C5" s="7">
        <f>SUM('Model inputs'!C7,'Model inputs'!C8)</f>
        <v>0</v>
      </c>
      <c r="D5" s="7">
        <f>SUM('Model inputs'!D7,'Model inputs'!D8)</f>
        <v>0</v>
      </c>
      <c r="E5" s="7">
        <f>SUM('Model inputs'!E7,'Model inputs'!E8)</f>
        <v>0</v>
      </c>
      <c r="F5" s="7">
        <f>SUM('Model inputs'!F7,'Model inputs'!F8)</f>
        <v>0</v>
      </c>
      <c r="G5" s="7">
        <f>SUM('Model inputs'!G7,'Model inputs'!G8)</f>
        <v>0</v>
      </c>
      <c r="H5" s="7">
        <f>SUM('Model inputs'!H7,'Model inputs'!H8)</f>
        <v>2</v>
      </c>
      <c r="I5" s="7">
        <f>SUM('Model inputs'!I7,'Model inputs'!I8)</f>
        <v>4</v>
      </c>
      <c r="J5" s="7">
        <f>SUM('Model inputs'!J7,'Model inputs'!J8)</f>
        <v>6</v>
      </c>
      <c r="K5" s="7">
        <f>SUM('Model inputs'!K7,'Model inputs'!K8)</f>
        <v>8</v>
      </c>
      <c r="L5" s="7">
        <f>SUM('Model inputs'!L7,'Model inputs'!L8)</f>
        <v>10</v>
      </c>
      <c r="M5" s="7">
        <f>SUM('Model inputs'!M7,'Model inputs'!M8)</f>
        <v>12</v>
      </c>
      <c r="N5" s="7">
        <f>SUM('Model inputs'!N7,'Model inputs'!N8)</f>
        <v>14</v>
      </c>
      <c r="O5" s="7">
        <f>SUM('Model inputs'!O7,'Model inputs'!O8)</f>
        <v>16</v>
      </c>
      <c r="P5" s="7">
        <f>SUM('Model inputs'!P7,'Model inputs'!P8)</f>
        <v>18</v>
      </c>
      <c r="Q5" s="7">
        <f>SUM('Model inputs'!Q7,'Model inputs'!Q8)</f>
        <v>21</v>
      </c>
      <c r="R5" s="7">
        <f>SUM('Model inputs'!R7,'Model inputs'!R8)</f>
        <v>23</v>
      </c>
      <c r="S5" s="7">
        <f>SUM('Model inputs'!S7,'Model inputs'!S8)</f>
        <v>26</v>
      </c>
      <c r="T5" s="7">
        <f>SUM('Model inputs'!T7,'Model inputs'!T8)</f>
        <v>28</v>
      </c>
      <c r="U5" s="7">
        <f>SUM('Model inputs'!U7,'Model inputs'!U8)</f>
        <v>31</v>
      </c>
      <c r="V5" s="7">
        <f>SUM('Model inputs'!V7,'Model inputs'!V8)</f>
        <v>35</v>
      </c>
      <c r="W5" s="7">
        <f>SUM('Model inputs'!W7,'Model inputs'!W8)</f>
        <v>37</v>
      </c>
      <c r="X5" s="7">
        <f>SUM('Model inputs'!X7,'Model inputs'!X8)</f>
        <v>40</v>
      </c>
      <c r="Y5" s="7">
        <f>SUM('Model inputs'!Y7,'Model inputs'!Y8)</f>
        <v>42</v>
      </c>
    </row>
    <row r="6">
      <c r="A6" t="inlineStr" s="8">
        <is>
          <t xml:space="preserve">Customers &gt; Growth</t>
        </is>
      </c>
      <c r="B6" s="9">
        <f>SUM('Model inputs'!B10,'Model inputs'!B11)</f>
        <v>0</v>
      </c>
      <c r="C6" s="9">
        <f>SUM('Model inputs'!C10,'Model inputs'!C11)</f>
        <v>0</v>
      </c>
      <c r="D6" s="9">
        <f>SUM('Model inputs'!D10,'Model inputs'!D11)</f>
        <v>0</v>
      </c>
      <c r="E6" s="9">
        <f>SUM('Model inputs'!E10,'Model inputs'!E11)</f>
        <v>4</v>
      </c>
      <c r="F6" s="9">
        <f>SUM('Model inputs'!F10,'Model inputs'!F11)</f>
        <v>8</v>
      </c>
      <c r="G6" s="9">
        <f>SUM('Model inputs'!G10,'Model inputs'!G11)</f>
        <v>12</v>
      </c>
      <c r="H6" s="9">
        <f>SUM('Model inputs'!H10,'Model inputs'!H11)</f>
        <v>17</v>
      </c>
      <c r="I6" s="9">
        <f>SUM('Model inputs'!I10,'Model inputs'!I11)</f>
        <v>22</v>
      </c>
      <c r="J6" s="9">
        <f>SUM('Model inputs'!J10,'Model inputs'!J11)</f>
        <v>28</v>
      </c>
      <c r="K6" s="9">
        <f>SUM('Model inputs'!K10,'Model inputs'!K11)</f>
        <v>33</v>
      </c>
      <c r="L6" s="9">
        <f>SUM('Model inputs'!L10,'Model inputs'!L11)</f>
        <v>38</v>
      </c>
      <c r="M6" s="9">
        <f>SUM('Model inputs'!M10,'Model inputs'!M11)</f>
        <v>43</v>
      </c>
      <c r="N6" s="9">
        <f>SUM('Model inputs'!N10,'Model inputs'!N11)</f>
        <v>49</v>
      </c>
      <c r="O6" s="9">
        <f>SUM('Model inputs'!O10,'Model inputs'!O11)</f>
        <v>57</v>
      </c>
      <c r="P6" s="9">
        <f>SUM('Model inputs'!P10,'Model inputs'!P11)</f>
        <v>63</v>
      </c>
      <c r="Q6" s="9">
        <f>SUM('Model inputs'!Q10,'Model inputs'!Q11)</f>
        <v>71</v>
      </c>
      <c r="R6" s="9">
        <f>SUM('Model inputs'!R10,'Model inputs'!R11)</f>
        <v>77</v>
      </c>
      <c r="S6" s="9">
        <f>SUM('Model inputs'!S10,'Model inputs'!S11)</f>
        <v>85</v>
      </c>
      <c r="T6" s="9">
        <f>SUM('Model inputs'!T10,'Model inputs'!T11)</f>
        <v>91</v>
      </c>
      <c r="U6" s="9">
        <f>SUM('Model inputs'!U10,'Model inputs'!U11)</f>
        <v>97</v>
      </c>
      <c r="V6" s="9">
        <f>SUM('Model inputs'!V10,'Model inputs'!V11)</f>
        <v>105</v>
      </c>
      <c r="W6" s="9">
        <f>SUM('Model inputs'!W10,'Model inputs'!W11)</f>
        <v>111</v>
      </c>
      <c r="X6" s="9">
        <f>SUM('Model inputs'!X10,'Model inputs'!X11)</f>
        <v>119</v>
      </c>
      <c r="Y6" s="9">
        <f>SUM('Model inputs'!Y10,'Model inputs'!Y11)</f>
        <v>125</v>
      </c>
    </row>
    <row r="7">
      <c r="A7" t="inlineStr" s="8">
        <is>
          <t xml:space="preserve">Customers &gt; delta</t>
        </is>
      </c>
      <c r="B7" s="9">
        <f>'Base vs Growth vs Downside key'!B6-'Base vs Growth vs Downside key'!B5</f>
        <v>0</v>
      </c>
      <c r="C7" s="9">
        <f>'Base vs Growth vs Downside key'!C6-'Base vs Growth vs Downside key'!C5</f>
        <v>0</v>
      </c>
      <c r="D7" s="9">
        <f>'Base vs Growth vs Downside key'!D6-'Base vs Growth vs Downside key'!D5</f>
        <v>0</v>
      </c>
      <c r="E7" s="9">
        <f>'Base vs Growth vs Downside key'!E6-'Base vs Growth vs Downside key'!E5</f>
        <v>4</v>
      </c>
      <c r="F7" s="9">
        <f>'Base vs Growth vs Downside key'!F6-'Base vs Growth vs Downside key'!F5</f>
        <v>8</v>
      </c>
      <c r="G7" s="9">
        <f>'Base vs Growth vs Downside key'!G6-'Base vs Growth vs Downside key'!G5</f>
        <v>12</v>
      </c>
      <c r="H7" s="9">
        <f>'Base vs Growth vs Downside key'!H6-'Base vs Growth vs Downside key'!H5</f>
        <v>15</v>
      </c>
      <c r="I7" s="9">
        <f>'Base vs Growth vs Downside key'!I6-'Base vs Growth vs Downside key'!I5</f>
        <v>18</v>
      </c>
      <c r="J7" s="9">
        <f>'Base vs Growth vs Downside key'!J6-'Base vs Growth vs Downside key'!J5</f>
        <v>22</v>
      </c>
      <c r="K7" s="9">
        <f>'Base vs Growth vs Downside key'!K6-'Base vs Growth vs Downside key'!K5</f>
        <v>25</v>
      </c>
      <c r="L7" s="9">
        <f>'Base vs Growth vs Downside key'!L6-'Base vs Growth vs Downside key'!L5</f>
        <v>28</v>
      </c>
      <c r="M7" s="9">
        <f>'Base vs Growth vs Downside key'!M6-'Base vs Growth vs Downside key'!M5</f>
        <v>31</v>
      </c>
      <c r="N7" s="9">
        <f>'Base vs Growth vs Downside key'!N6-'Base vs Growth vs Downside key'!N5</f>
        <v>35</v>
      </c>
      <c r="O7" s="9">
        <f>'Base vs Growth vs Downside key'!O6-'Base vs Growth vs Downside key'!O5</f>
        <v>41</v>
      </c>
      <c r="P7" s="9">
        <f>'Base vs Growth vs Downside key'!P6-'Base vs Growth vs Downside key'!P5</f>
        <v>45</v>
      </c>
      <c r="Q7" s="9">
        <f>'Base vs Growth vs Downside key'!Q6-'Base vs Growth vs Downside key'!Q5</f>
        <v>50</v>
      </c>
      <c r="R7" s="9">
        <f>'Base vs Growth vs Downside key'!R6-'Base vs Growth vs Downside key'!R5</f>
        <v>54</v>
      </c>
      <c r="S7" s="9">
        <f>'Base vs Growth vs Downside key'!S6-'Base vs Growth vs Downside key'!S5</f>
        <v>59</v>
      </c>
      <c r="T7" s="9">
        <f>'Base vs Growth vs Downside key'!T6-'Base vs Growth vs Downside key'!T5</f>
        <v>63</v>
      </c>
      <c r="U7" s="9">
        <f>'Base vs Growth vs Downside key'!U6-'Base vs Growth vs Downside key'!U5</f>
        <v>66</v>
      </c>
      <c r="V7" s="9">
        <f>'Base vs Growth vs Downside key'!V6-'Base vs Growth vs Downside key'!V5</f>
        <v>70</v>
      </c>
      <c r="W7" s="9">
        <f>'Base vs Growth vs Downside key'!W6-'Base vs Growth vs Downside key'!W5</f>
        <v>74</v>
      </c>
      <c r="X7" s="9">
        <f>'Base vs Growth vs Downside key'!X6-'Base vs Growth vs Downside key'!X5</f>
        <v>79</v>
      </c>
      <c r="Y7" s="9">
        <f>'Base vs Growth vs Downside key'!Y6-'Base vs Growth vs Downside key'!Y5</f>
        <v>83</v>
      </c>
    </row>
    <row r="8">
      <c r="A8" t="inlineStr" s="8">
        <is>
          <t xml:space="preserve">Revenue</t>
        </is>
      </c>
      <c r="B8" s="10">
        <f>SUM('Model inputs'!B21,'Model inputs'!B22)</f>
        <v>0</v>
      </c>
      <c r="C8" s="10">
        <f>SUM('Model inputs'!C21,'Model inputs'!C22)</f>
        <v>0</v>
      </c>
      <c r="D8" s="10">
        <f>SUM('Model inputs'!D21,'Model inputs'!D22)</f>
        <v>0</v>
      </c>
      <c r="E8" s="10">
        <f>SUM('Model inputs'!E21,'Model inputs'!E22)</f>
        <v>0</v>
      </c>
      <c r="F8" s="10">
        <f>SUM('Model inputs'!F21,'Model inputs'!F22)</f>
        <v>0</v>
      </c>
      <c r="G8" s="10">
        <f>SUM('Model inputs'!G21,'Model inputs'!G22)</f>
        <v>0</v>
      </c>
      <c r="H8" s="10">
        <f>SUM('Model inputs'!H21,'Model inputs'!H22)</f>
        <v>198</v>
      </c>
      <c r="I8" s="10">
        <f>SUM('Model inputs'!I21,'Model inputs'!I22)</f>
        <v>696</v>
      </c>
      <c r="J8" s="10">
        <f>SUM('Model inputs'!J21,'Model inputs'!J22)</f>
        <v>894</v>
      </c>
      <c r="K8" s="10">
        <f>SUM('Model inputs'!K21,'Model inputs'!K22)</f>
        <v>1092</v>
      </c>
      <c r="L8" s="10">
        <f>SUM('Model inputs'!L21,'Model inputs'!L22)</f>
        <v>1590</v>
      </c>
      <c r="M8" s="10">
        <f>SUM('Model inputs'!M21,'Model inputs'!M22)</f>
        <v>1788</v>
      </c>
      <c r="N8" s="10">
        <f>SUM('Model inputs'!N21,'Model inputs'!N22)</f>
        <v>1986</v>
      </c>
      <c r="O8" s="10">
        <f>SUM('Model inputs'!O21,'Model inputs'!O22)</f>
        <v>2484</v>
      </c>
      <c r="P8" s="10">
        <f>SUM('Model inputs'!P21,'Model inputs'!P22)</f>
        <v>2682</v>
      </c>
      <c r="Q8" s="10">
        <f>SUM('Model inputs'!Q21,'Model inputs'!Q22)</f>
        <v>3279</v>
      </c>
      <c r="R8" s="10">
        <f>SUM('Model inputs'!R21,'Model inputs'!R22)</f>
        <v>3477</v>
      </c>
      <c r="S8" s="10">
        <f>SUM('Model inputs'!S21,'Model inputs'!S22)</f>
        <v>4074</v>
      </c>
      <c r="T8" s="10">
        <f>SUM('Model inputs'!T21,'Model inputs'!T22)</f>
        <v>4272</v>
      </c>
      <c r="U8" s="10">
        <f>SUM('Model inputs'!U21,'Model inputs'!U22)</f>
        <v>4869</v>
      </c>
      <c r="V8" s="10">
        <f>SUM('Model inputs'!V21,'Model inputs'!V22)</f>
        <v>5565</v>
      </c>
      <c r="W8" s="10">
        <f>SUM('Model inputs'!W21,'Model inputs'!W22)</f>
        <v>5763</v>
      </c>
      <c r="X8" s="10">
        <f>SUM('Model inputs'!X21,'Model inputs'!X22)</f>
        <v>6360</v>
      </c>
      <c r="Y8" s="10">
        <f>SUM('Model inputs'!Y21,'Model inputs'!Y22)</f>
        <v>6558</v>
      </c>
    </row>
    <row r="9">
      <c r="A9" t="inlineStr" s="8">
        <is>
          <t xml:space="preserve">Revenue &gt; Growth</t>
        </is>
      </c>
      <c r="B9" s="10">
        <f>SUM('Model inputs'!B24,'Model inputs'!B25)</f>
        <v>0</v>
      </c>
      <c r="C9" s="10">
        <f>SUM('Model inputs'!C24,'Model inputs'!C25)</f>
        <v>0</v>
      </c>
      <c r="D9" s="10">
        <f>SUM('Model inputs'!D24,'Model inputs'!D25)</f>
        <v>0</v>
      </c>
      <c r="E9" s="10">
        <f>SUM('Model inputs'!E24,'Model inputs'!E25)</f>
        <v>696</v>
      </c>
      <c r="F9" s="10">
        <f>SUM('Model inputs'!F24,'Model inputs'!F25)</f>
        <v>1092</v>
      </c>
      <c r="G9" s="10">
        <f>SUM('Model inputs'!G24,'Model inputs'!G25)</f>
        <v>1788</v>
      </c>
      <c r="H9" s="10">
        <f>SUM('Model inputs'!H24,'Model inputs'!H25)</f>
        <v>2583</v>
      </c>
      <c r="I9" s="10">
        <f>SUM('Model inputs'!I24,'Model inputs'!I25)</f>
        <v>3378</v>
      </c>
      <c r="J9" s="10">
        <f>SUM('Model inputs'!J24,'Model inputs'!J25)</f>
        <v>4272</v>
      </c>
      <c r="K9" s="10">
        <f>SUM('Model inputs'!K24,'Model inputs'!K25)</f>
        <v>5067</v>
      </c>
      <c r="L9" s="10">
        <f>SUM('Model inputs'!L24,'Model inputs'!L25)</f>
        <v>5862</v>
      </c>
      <c r="M9" s="10">
        <f>SUM('Model inputs'!M24,'Model inputs'!M25)</f>
        <v>6657</v>
      </c>
      <c r="N9" s="10">
        <f>SUM('Model inputs'!N24,'Model inputs'!N25)</f>
        <v>7551</v>
      </c>
      <c r="O9" s="10">
        <f>SUM('Model inputs'!O24,'Model inputs'!O25)</f>
        <v>8943</v>
      </c>
      <c r="P9" s="10">
        <f>SUM('Model inputs'!P24,'Model inputs'!P25)</f>
        <v>9837</v>
      </c>
      <c r="Q9" s="10">
        <f>SUM('Model inputs'!Q24,'Model inputs'!Q25)</f>
        <v>11229</v>
      </c>
      <c r="R9" s="10">
        <f>SUM('Model inputs'!R24,'Model inputs'!R25)</f>
        <v>12123</v>
      </c>
      <c r="S9" s="10">
        <f>SUM('Model inputs'!S24,'Model inputs'!S25)</f>
        <v>13515</v>
      </c>
      <c r="T9" s="10">
        <f>SUM('Model inputs'!T24,'Model inputs'!T25)</f>
        <v>14409</v>
      </c>
      <c r="U9" s="10">
        <f>SUM('Model inputs'!U24,'Model inputs'!U25)</f>
        <v>15303</v>
      </c>
      <c r="V9" s="10">
        <f>SUM('Model inputs'!V24,'Model inputs'!V25)</f>
        <v>16695</v>
      </c>
      <c r="W9" s="10">
        <f>SUM('Model inputs'!W24,'Model inputs'!W25)</f>
        <v>17589</v>
      </c>
      <c r="X9" s="10">
        <f>SUM('Model inputs'!X24,'Model inputs'!X25)</f>
        <v>18981</v>
      </c>
      <c r="Y9" s="10">
        <f>SUM('Model inputs'!Y24,'Model inputs'!Y25)</f>
        <v>19875</v>
      </c>
    </row>
    <row r="10">
      <c r="A10" t="inlineStr" s="8">
        <is>
          <t xml:space="preserve">Revenue &gt; delta</t>
        </is>
      </c>
      <c r="B10" s="10">
        <f>'Base vs Growth vs Downside key'!B9-'Base vs Growth vs Downside key'!B8</f>
        <v>0</v>
      </c>
      <c r="C10" s="10">
        <f>'Base vs Growth vs Downside key'!C9-'Base vs Growth vs Downside key'!C8</f>
        <v>0</v>
      </c>
      <c r="D10" s="10">
        <f>'Base vs Growth vs Downside key'!D9-'Base vs Growth vs Downside key'!D8</f>
        <v>0</v>
      </c>
      <c r="E10" s="10">
        <f>'Base vs Growth vs Downside key'!E9-'Base vs Growth vs Downside key'!E8</f>
        <v>696</v>
      </c>
      <c r="F10" s="10">
        <f>'Base vs Growth vs Downside key'!F9-'Base vs Growth vs Downside key'!F8</f>
        <v>1092</v>
      </c>
      <c r="G10" s="10">
        <f>'Base vs Growth vs Downside key'!G9-'Base vs Growth vs Downside key'!G8</f>
        <v>1788</v>
      </c>
      <c r="H10" s="10">
        <f>'Base vs Growth vs Downside key'!H9-'Base vs Growth vs Downside key'!H8</f>
        <v>2385</v>
      </c>
      <c r="I10" s="10">
        <f>'Base vs Growth vs Downside key'!I9-'Base vs Growth vs Downside key'!I8</f>
        <v>2682</v>
      </c>
      <c r="J10" s="10">
        <f>'Base vs Growth vs Downside key'!J9-'Base vs Growth vs Downside key'!J8</f>
        <v>3378</v>
      </c>
      <c r="K10" s="10">
        <f>'Base vs Growth vs Downside key'!K9-'Base vs Growth vs Downside key'!K8</f>
        <v>3975</v>
      </c>
      <c r="L10" s="10">
        <f>'Base vs Growth vs Downside key'!L9-'Base vs Growth vs Downside key'!L8</f>
        <v>4272</v>
      </c>
      <c r="M10" s="10">
        <f>'Base vs Growth vs Downside key'!M9-'Base vs Growth vs Downside key'!M8</f>
        <v>4869</v>
      </c>
      <c r="N10" s="10">
        <f>'Base vs Growth vs Downside key'!N9-'Base vs Growth vs Downside key'!N8</f>
        <v>5565</v>
      </c>
      <c r="O10" s="10">
        <f>'Base vs Growth vs Downside key'!O9-'Base vs Growth vs Downside key'!O8</f>
        <v>6459</v>
      </c>
      <c r="P10" s="10">
        <f>'Base vs Growth vs Downside key'!P9-'Base vs Growth vs Downside key'!P8</f>
        <v>7155</v>
      </c>
      <c r="Q10" s="10">
        <f>'Base vs Growth vs Downside key'!Q9-'Base vs Growth vs Downside key'!Q8</f>
        <v>7950</v>
      </c>
      <c r="R10" s="10">
        <f>'Base vs Growth vs Downside key'!R9-'Base vs Growth vs Downside key'!R8</f>
        <v>8646</v>
      </c>
      <c r="S10" s="10">
        <f>'Base vs Growth vs Downside key'!S9-'Base vs Growth vs Downside key'!S8</f>
        <v>9441</v>
      </c>
      <c r="T10" s="10">
        <f>'Base vs Growth vs Downside key'!T9-'Base vs Growth vs Downside key'!T8</f>
        <v>10137</v>
      </c>
      <c r="U10" s="10">
        <f>'Base vs Growth vs Downside key'!U9-'Base vs Growth vs Downside key'!U8</f>
        <v>10434</v>
      </c>
      <c r="V10" s="10">
        <f>'Base vs Growth vs Downside key'!V9-'Base vs Growth vs Downside key'!V8</f>
        <v>11130</v>
      </c>
      <c r="W10" s="10">
        <f>'Base vs Growth vs Downside key'!W9-'Base vs Growth vs Downside key'!W8</f>
        <v>11826</v>
      </c>
      <c r="X10" s="10">
        <f>'Base vs Growth vs Downside key'!X9-'Base vs Growth vs Downside key'!X8</f>
        <v>12621</v>
      </c>
      <c r="Y10" s="10">
        <f>'Base vs Growth vs Downside key'!Y9-'Base vs Growth vs Downside key'!Y8</f>
        <v>13317</v>
      </c>
    </row>
    <row r="11">
      <c r="A11" t="inlineStr" s="8">
        <is>
          <t xml:space="preserve">Gross margin</t>
        </is>
      </c>
      <c r="B11" t="str" s="11">
        <f>IFERROR('Model inputs'!B14/'Base vs Growth vs Downside key'!B8,"")</f>
        <v/>
      </c>
      <c r="C11" t="str" s="11">
        <f>IFERROR('Model inputs'!C14/'Base vs Growth vs Downside key'!C8,"")</f>
        <v/>
      </c>
      <c r="D11" t="str" s="11">
        <f>IFERROR('Model inputs'!D14/'Base vs Growth vs Downside key'!D8,"")</f>
        <v/>
      </c>
      <c r="E11" t="str" s="11">
        <f>IFERROR('Model inputs'!E14/'Base vs Growth vs Downside key'!E8,"")</f>
        <v/>
      </c>
      <c r="F11" t="str" s="11">
        <f>IFERROR('Model inputs'!F14/'Base vs Growth vs Downside key'!F8,"")</f>
        <v/>
      </c>
      <c r="G11" t="str" s="11">
        <f>IFERROR('Model inputs'!G14/'Base vs Growth vs Downside key'!G8,"")</f>
        <v/>
      </c>
      <c r="H11" s="11">
        <f>IFERROR('Model inputs'!H14/'Base vs Growth vs Downside key'!H8,"")</f>
        <v>0.29454545454545467</v>
      </c>
      <c r="I11" s="11">
        <f>IFERROR('Model inputs'!I14/'Base vs Growth vs Downside key'!I8,"")</f>
        <v>0.26275862068965516</v>
      </c>
      <c r="J11" s="11">
        <f>IFERROR('Model inputs'!J14/'Base vs Growth vs Downside key'!J8,"")</f>
        <v>0.286800894854586</v>
      </c>
      <c r="K11" s="11">
        <f>IFERROR('Model inputs'!K14/'Base vs Growth vs Downside key'!K8,"")</f>
        <v>0.3021245421245421</v>
      </c>
      <c r="L11" s="11">
        <f>IFERROR('Model inputs'!L14/'Base vs Growth vs Downside key'!L8,"")</f>
        <v>0.2858364779874214</v>
      </c>
      <c r="M11" s="11">
        <f>IFERROR('Model inputs'!M14/'Base vs Growth vs Downside key'!M8,"")</f>
        <v>0.29530201342281864</v>
      </c>
      <c r="N11" s="11">
        <f>IFERROR('Model inputs'!N14/'Base vs Growth vs Downside key'!N8,"")</f>
        <v>0.30288016112789523</v>
      </c>
      <c r="O11" s="11">
        <f>IFERROR('Model inputs'!O14/'Base vs Growth vs Downside key'!O8,"")</f>
        <v>0.2923027375201287</v>
      </c>
      <c r="P11" s="11">
        <f>IFERROR('Model inputs'!P14/'Base vs Growth vs Downside key'!P8,"")</f>
        <v>0.2981357196122296</v>
      </c>
      <c r="Q11" s="11">
        <f>IFERROR('Model inputs'!Q14/'Base vs Growth vs Downside key'!Q8,"")</f>
        <v>0.29305275998780117</v>
      </c>
      <c r="R11" s="11">
        <f>IFERROR('Model inputs'!R14/'Base vs Growth vs Downside key'!R8,"")</f>
        <v>0.29750934713833765</v>
      </c>
      <c r="S11" s="11">
        <f>IFERROR('Model inputs'!S14/'Base vs Growth vs Downside key'!S8,"")</f>
        <v>0.29351006381934236</v>
      </c>
      <c r="T11" s="11">
        <f>IFERROR('Model inputs'!T14/'Base vs Growth vs Downside key'!T8,"")</f>
        <v>0.2971161048689139</v>
      </c>
      <c r="U11" s="11">
        <f>IFERROR('Model inputs'!U14/'Base vs Growth vs Downside key'!U8,"")</f>
        <v>0.2938180324501951</v>
      </c>
      <c r="V11" s="11">
        <f>IFERROR('Model inputs'!V14/'Base vs Growth vs Downside key'!V8,"")</f>
        <v>0.29266486972147354</v>
      </c>
      <c r="W11" s="11">
        <f>IFERROR('Model inputs'!W14/'Base vs Growth vs Downside key'!W8,"")</f>
        <v>0.2953669963560645</v>
      </c>
      <c r="X11" s="11">
        <f>IFERROR('Model inputs'!X14/'Base vs Growth vs Downside key'!X8,"")</f>
        <v>0.2930062893081762</v>
      </c>
      <c r="Y11" s="11">
        <f>IFERROR('Model inputs'!Y14/'Base vs Growth vs Downside key'!Y8,"")</f>
        <v>0.29537053979871913</v>
      </c>
    </row>
    <row r="12">
      <c r="A12" t="inlineStr" s="8">
        <is>
          <t xml:space="preserve">Gross margin &gt; Growth</t>
        </is>
      </c>
      <c r="B12" t="str" s="11">
        <f>IFERROR('Model inputs'!B15/'Base vs Growth vs Downside key'!B9,"")</f>
        <v/>
      </c>
      <c r="C12" t="str" s="11">
        <f>IFERROR('Model inputs'!C15/'Base vs Growth vs Downside key'!C9,"")</f>
        <v/>
      </c>
      <c r="D12" t="str" s="11">
        <f>IFERROR('Model inputs'!D15/'Base vs Growth vs Downside key'!D9,"")</f>
        <v/>
      </c>
      <c r="E12" s="11">
        <f>IFERROR('Model inputs'!E15/'Base vs Growth vs Downside key'!E9,"")</f>
        <v>0.6886436781609195</v>
      </c>
      <c r="F12" s="11">
        <f>IFERROR('Model inputs'!F15/'Base vs Growth vs Downside key'!F9,"")</f>
        <v>0.7092893772893774</v>
      </c>
      <c r="G12" s="11">
        <f>IFERROR('Model inputs'!G15/'Base vs Growth vs Downside key'!G9,"")</f>
        <v>0.7097539149888143</v>
      </c>
      <c r="H12" s="11">
        <f>IFERROR('Model inputs'!H15/'Base vs Growth vs Downside key'!H9,"")</f>
        <v>0.7113232675183895</v>
      </c>
      <c r="I12" s="11">
        <f>IFERROR('Model inputs'!I15/'Base vs Growth vs Downside key'!I9,"")</f>
        <v>0.712153937240971</v>
      </c>
      <c r="J12" s="11">
        <f>IFERROR('Model inputs'!J15/'Base vs Growth vs Downside key'!J9,"")</f>
        <v>0.7134307116104869</v>
      </c>
      <c r="K12" s="11">
        <f>IFERROR('Model inputs'!K15/'Base vs Growth vs Downside key'!K9,"")</f>
        <v>0.7136538385632524</v>
      </c>
      <c r="L12" s="11">
        <f>IFERROR('Model inputs'!L15/'Base vs Growth vs Downside key'!L9,"")</f>
        <v>0.7138164448993517</v>
      </c>
      <c r="M12" s="11">
        <f>IFERROR('Model inputs'!M15/'Base vs Growth vs Downside key'!M9,"")</f>
        <v>0.7139402133092985</v>
      </c>
      <c r="N12" s="11">
        <f>IFERROR('Model inputs'!N15/'Base vs Growth vs Downside key'!N9,"")</f>
        <v>0.7144510660839624</v>
      </c>
      <c r="O12" s="11">
        <f>IFERROR('Model inputs'!O15/'Base vs Growth vs Downside key'!O9,"")</f>
        <v>0.7138333892429833</v>
      </c>
      <c r="P12" s="11">
        <f>IFERROR('Model inputs'!P15/'Base vs Growth vs Downside key'!P9,"")</f>
        <v>0.7142352343194063</v>
      </c>
      <c r="Q12" s="11">
        <f>IFERROR('Model inputs'!Q15/'Base vs Growth vs Downside key'!Q9,"")</f>
        <v>0.7137700596669339</v>
      </c>
      <c r="R12" s="11">
        <f>IFERROR('Model inputs'!R15/'Base vs Growth vs Downside key'!R9,"")</f>
        <v>0.7141008001319805</v>
      </c>
      <c r="S12" s="11">
        <f>IFERROR('Model inputs'!S15/'Base vs Growth vs Downside key'!S9,"")</f>
        <v>0.7137281539030707</v>
      </c>
      <c r="T12" s="11">
        <f>IFERROR('Model inputs'!T15/'Base vs Growth vs Downside key'!T9,"")</f>
        <v>0.7140090221389409</v>
      </c>
      <c r="U12" s="11">
        <f>IFERROR('Model inputs'!U15/'Base vs Growth vs Downside key'!U9,"")</f>
        <v>0.7142570737763837</v>
      </c>
      <c r="V12" s="11">
        <f>IFERROR('Model inputs'!V15/'Base vs Growth vs Downside key'!V9,"")</f>
        <v>0.7139423779574723</v>
      </c>
      <c r="W12" s="11">
        <f>IFERROR('Model inputs'!W15/'Base vs Growth vs Downside key'!W9,"")</f>
        <v>0.7141615782591392</v>
      </c>
      <c r="X12" s="11">
        <f>IFERROR('Model inputs'!X15/'Base vs Growth vs Downside key'!X9,"")</f>
        <v>0.7138917865233654</v>
      </c>
      <c r="Y12" s="11">
        <f>IFERROR('Model inputs'!Y15/'Base vs Growth vs Downside key'!Y9,"")</f>
        <v>0.7140880503144654</v>
      </c>
    </row>
    <row r="13">
      <c r="A13" t="inlineStr" s="8">
        <is>
          <t xml:space="preserve">Gross margin &gt; delta</t>
        </is>
      </c>
      <c r="H13" s="11">
        <f>'Base vs Growth vs Downside key'!H12-'Base vs Growth vs Downside key'!H11</f>
        <v>0.4167778129729348</v>
      </c>
      <c r="I13" s="11">
        <f>'Base vs Growth vs Downside key'!I12-'Base vs Growth vs Downside key'!I11</f>
        <v>0.4493953165513158</v>
      </c>
      <c r="J13" s="11">
        <f>'Base vs Growth vs Downside key'!J12-'Base vs Growth vs Downside key'!J11</f>
        <v>0.4266298167559009</v>
      </c>
      <c r="K13" s="11">
        <f>'Base vs Growth vs Downside key'!K12-'Base vs Growth vs Downside key'!K11</f>
        <v>0.4115292964387103</v>
      </c>
      <c r="L13" s="11">
        <f>'Base vs Growth vs Downside key'!L12-'Base vs Growth vs Downside key'!L11</f>
        <v>0.4279799669119303</v>
      </c>
      <c r="M13" s="11">
        <f>'Base vs Growth vs Downside key'!M12-'Base vs Growth vs Downside key'!M11</f>
        <v>0.4186381998864798</v>
      </c>
      <c r="N13" s="11">
        <f>'Base vs Growth vs Downside key'!N12-'Base vs Growth vs Downside key'!N11</f>
        <v>0.41157090495606713</v>
      </c>
      <c r="O13" s="11">
        <f>'Base vs Growth vs Downside key'!O12-'Base vs Growth vs Downside key'!O11</f>
        <v>0.42153065172285464</v>
      </c>
      <c r="P13" s="11">
        <f>'Base vs Growth vs Downside key'!P12-'Base vs Growth vs Downside key'!P11</f>
        <v>0.41609951470717665</v>
      </c>
      <c r="Q13" s="11">
        <f>'Base vs Growth vs Downside key'!Q12-'Base vs Growth vs Downside key'!Q11</f>
        <v>0.4207172996791327</v>
      </c>
      <c r="R13" s="11">
        <f>'Base vs Growth vs Downside key'!R12-'Base vs Growth vs Downside key'!R11</f>
        <v>0.41659145299364286</v>
      </c>
      <c r="S13" s="11">
        <f>'Base vs Growth vs Downside key'!S12-'Base vs Growth vs Downside key'!S11</f>
        <v>0.4202180900837283</v>
      </c>
      <c r="T13" s="11">
        <f>'Base vs Growth vs Downside key'!T12-'Base vs Growth vs Downside key'!T11</f>
        <v>0.41689291727002703</v>
      </c>
      <c r="U13" s="11">
        <f>'Base vs Growth vs Downside key'!U12-'Base vs Growth vs Downside key'!U11</f>
        <v>0.4204390413261886</v>
      </c>
      <c r="V13" s="11">
        <f>'Base vs Growth vs Downside key'!V12-'Base vs Growth vs Downside key'!V11</f>
        <v>0.42127750823599874</v>
      </c>
      <c r="W13" s="11">
        <f>'Base vs Growth vs Downside key'!W12-'Base vs Growth vs Downside key'!W11</f>
        <v>0.41879458190307467</v>
      </c>
      <c r="X13" s="11">
        <f>'Base vs Growth vs Downside key'!X12-'Base vs Growth vs Downside key'!X11</f>
        <v>0.4208854972151892</v>
      </c>
      <c r="Y13" s="11">
        <f>'Base vs Growth vs Downside key'!Y12-'Base vs Growth vs Downside key'!Y11</f>
        <v>0.4187175105157463</v>
      </c>
    </row>
    <row r="14">
      <c r="A14" t="inlineStr" s="8">
        <is>
          <t xml:space="preserve">Net burn</t>
        </is>
      </c>
      <c r="B14" s="10">
        <f>-'Model inputs'!B18</f>
        <v>2115.2</v>
      </c>
      <c r="C14" s="10">
        <f>-'Model inputs'!C18</f>
        <v>2115.2</v>
      </c>
      <c r="D14" s="10">
        <f>-'Model inputs'!D18</f>
        <v>2115.2</v>
      </c>
      <c r="E14" s="10">
        <f>-'Model inputs'!E18</f>
        <v>2115.2</v>
      </c>
      <c r="F14" s="10">
        <f>-'Model inputs'!F18</f>
        <v>2115.2</v>
      </c>
      <c r="G14" s="10">
        <f>-'Model inputs'!G18</f>
        <v>2115.2</v>
      </c>
      <c r="H14" s="10">
        <f>-'Model inputs'!H18</f>
        <v>2041.68</v>
      </c>
      <c r="I14" s="10">
        <f>-'Model inputs'!I18</f>
        <v>1917.12</v>
      </c>
      <c r="J14" s="10">
        <f>-'Model inputs'!J18</f>
        <v>1843.6000000000001</v>
      </c>
      <c r="K14" s="10">
        <f>-'Model inputs'!K18</f>
        <v>1770.08</v>
      </c>
      <c r="L14" s="10">
        <f>-'Model inputs'!L18</f>
        <v>1645.52</v>
      </c>
      <c r="M14" s="10">
        <f>-'Model inputs'!M18</f>
        <v>1572.0000000000002</v>
      </c>
      <c r="N14" s="10">
        <f>-'Model inputs'!N18</f>
        <v>1498.48</v>
      </c>
      <c r="O14" s="10">
        <f>-'Model inputs'!O18</f>
        <v>1373.9200000000003</v>
      </c>
      <c r="P14" s="10">
        <f>-'Model inputs'!P18</f>
        <v>1300.4</v>
      </c>
      <c r="Q14" s="10">
        <f>-'Model inputs'!Q18</f>
        <v>1139.08</v>
      </c>
      <c r="R14" s="10">
        <f>-'Model inputs'!R18</f>
        <v>1065.56</v>
      </c>
      <c r="S14" s="10">
        <f>-'Model inputs'!S18</f>
        <v>904.2399999999993</v>
      </c>
      <c r="T14" s="10">
        <f>-'Model inputs'!T18</f>
        <v>830.7199999999998</v>
      </c>
      <c r="U14" s="10">
        <f>-'Model inputs'!U18</f>
        <v>669.4000000000001</v>
      </c>
      <c r="V14" s="10">
        <f>-'Model inputs'!V18</f>
        <v>471.3199999999997</v>
      </c>
      <c r="W14" s="10">
        <f>-'Model inputs'!W18</f>
        <v>397.8000000000002</v>
      </c>
      <c r="X14" s="10">
        <f>-'Model inputs'!X18</f>
        <v>236.47999999999956</v>
      </c>
      <c r="Y14" s="10">
        <f>-'Model inputs'!Y18</f>
        <v>162.96000000000004</v>
      </c>
    </row>
    <row r="15">
      <c r="A15" t="inlineStr" s="8">
        <is>
          <t xml:space="preserve">Net burn &gt; Growth</t>
        </is>
      </c>
      <c r="B15" s="10">
        <f>-'Model inputs'!B19</f>
        <v>2115.2</v>
      </c>
      <c r="C15" s="10">
        <f>-'Model inputs'!C19</f>
        <v>2115.2</v>
      </c>
      <c r="D15" s="10">
        <f>-'Model inputs'!D19</f>
        <v>2115.2</v>
      </c>
      <c r="E15" s="10">
        <f>-'Model inputs'!E19</f>
        <v>1620.704</v>
      </c>
      <c r="F15" s="10">
        <f>-'Model inputs'!F19</f>
        <v>1325.456</v>
      </c>
      <c r="G15" s="10">
        <f>-'Model inputs'!G19</f>
        <v>830.96</v>
      </c>
      <c r="H15" s="10">
        <f>-'Model inputs'!H19</f>
        <v>262.65200000000004</v>
      </c>
      <c r="I15" s="10">
        <f>-'Model inputs'!I19</f>
        <v>-305.65599999999995</v>
      </c>
      <c r="J15" s="10">
        <f>-'Model inputs'!J19</f>
        <v>-947.7759999999998</v>
      </c>
      <c r="K15" s="10">
        <f>-'Model inputs'!K19</f>
        <v>-1516.0839999999998</v>
      </c>
      <c r="L15" s="10">
        <f>-'Model inputs'!L19</f>
        <v>-2084.392</v>
      </c>
      <c r="M15" s="10">
        <f>-'Model inputs'!M19</f>
        <v>-2652.7</v>
      </c>
      <c r="N15" s="10">
        <f>-'Model inputs'!N19</f>
        <v>-3294.8199999999997</v>
      </c>
      <c r="O15" s="10">
        <f>-'Model inputs'!O19</f>
        <v>-4283.812</v>
      </c>
      <c r="P15" s="10">
        <f>-'Model inputs'!P19</f>
        <v>-4925.932</v>
      </c>
      <c r="Q15" s="10">
        <f>-'Model inputs'!Q19</f>
        <v>-5914.924</v>
      </c>
      <c r="R15" s="10">
        <f>-'Model inputs'!R19</f>
        <v>-6557.044</v>
      </c>
      <c r="S15" s="10">
        <f>-'Model inputs'!S19</f>
        <v>-7546.036</v>
      </c>
      <c r="T15" s="10">
        <f>-'Model inputs'!T19</f>
        <v>-8188.155999999999</v>
      </c>
      <c r="U15" s="10">
        <f>-'Model inputs'!U19</f>
        <v>-8830.276</v>
      </c>
      <c r="V15" s="10">
        <f>-'Model inputs'!V19</f>
        <v>-9819.268</v>
      </c>
      <c r="W15" s="10">
        <f>-'Model inputs'!W19</f>
        <v>-10461.387999999999</v>
      </c>
      <c r="X15" s="10">
        <f>-'Model inputs'!X19</f>
        <v>-11450.38</v>
      </c>
      <c r="Y15" s="10">
        <f>-'Model inputs'!Y19</f>
        <v>-12092.5</v>
      </c>
    </row>
    <row r="16">
      <c r="A16" t="inlineStr" s="8">
        <is>
          <t xml:space="preserve">Net burn &gt; delta</t>
        </is>
      </c>
      <c r="B16" s="10">
        <f>'Base vs Growth vs Downside key'!B15-'Base vs Growth vs Downside key'!B14</f>
        <v>0</v>
      </c>
      <c r="C16" s="10">
        <f>'Base vs Growth vs Downside key'!C15-'Base vs Growth vs Downside key'!C14</f>
        <v>0</v>
      </c>
      <c r="D16" s="10">
        <f>'Base vs Growth vs Downside key'!D15-'Base vs Growth vs Downside key'!D14</f>
        <v>0</v>
      </c>
      <c r="E16" s="10">
        <f>'Base vs Growth vs Downside key'!E15-'Base vs Growth vs Downside key'!E14</f>
        <v>-494.49599999999987</v>
      </c>
      <c r="F16" s="10">
        <f>'Base vs Growth vs Downside key'!F15-'Base vs Growth vs Downside key'!F14</f>
        <v>-789.7439999999999</v>
      </c>
      <c r="G16" s="10">
        <f>'Base vs Growth vs Downside key'!G15-'Base vs Growth vs Downside key'!G14</f>
        <v>-1284.2399999999998</v>
      </c>
      <c r="H16" s="10">
        <f>'Base vs Growth vs Downside key'!H15-'Base vs Growth vs Downside key'!H14</f>
        <v>-1779.028</v>
      </c>
      <c r="I16" s="10">
        <f>'Base vs Growth vs Downside key'!I15-'Base vs Growth vs Downside key'!I14</f>
        <v>-2222.776</v>
      </c>
      <c r="J16" s="10">
        <f>'Base vs Growth vs Downside key'!J15-'Base vs Growth vs Downside key'!J14</f>
        <v>-2791.376</v>
      </c>
      <c r="K16" s="10">
        <f>'Base vs Growth vs Downside key'!K15-'Base vs Growth vs Downside key'!K14</f>
        <v>-3286.1639999999998</v>
      </c>
      <c r="L16" s="10">
        <f>'Base vs Growth vs Downside key'!L15-'Base vs Growth vs Downside key'!L14</f>
        <v>-3729.912</v>
      </c>
      <c r="M16" s="10">
        <f>'Base vs Growth vs Downside key'!M15-'Base vs Growth vs Downside key'!M14</f>
        <v>-4224.7</v>
      </c>
      <c r="N16" s="10">
        <f>'Base vs Growth vs Downside key'!N15-'Base vs Growth vs Downside key'!N14</f>
        <v>-4793.299999999999</v>
      </c>
      <c r="O16" s="10">
        <f>'Base vs Growth vs Downside key'!O15-'Base vs Growth vs Downside key'!O14</f>
        <v>-5657.732</v>
      </c>
      <c r="P16" s="10">
        <f>'Base vs Growth vs Downside key'!P15-'Base vs Growth vs Downside key'!P14</f>
        <v>-6226.332</v>
      </c>
      <c r="Q16" s="10">
        <f>'Base vs Growth vs Downside key'!Q15-'Base vs Growth vs Downside key'!Q14</f>
        <v>-7054.004</v>
      </c>
      <c r="R16" s="10">
        <f>'Base vs Growth vs Downside key'!R15-'Base vs Growth vs Downside key'!R14</f>
        <v>-7622.603999999999</v>
      </c>
      <c r="S16" s="10">
        <f>'Base vs Growth vs Downside key'!S15-'Base vs Growth vs Downside key'!S14</f>
        <v>-8450.276</v>
      </c>
      <c r="T16" s="10">
        <f>'Base vs Growth vs Downside key'!T15-'Base vs Growth vs Downside key'!T14</f>
        <v>-9018.875999999998</v>
      </c>
      <c r="U16" s="10">
        <f>'Base vs Growth vs Downside key'!U15-'Base vs Growth vs Downside key'!U14</f>
        <v>-9499.676</v>
      </c>
      <c r="V16" s="10">
        <f>'Base vs Growth vs Downside key'!V15-'Base vs Growth vs Downside key'!V14</f>
        <v>-10290.588</v>
      </c>
      <c r="W16" s="10">
        <f>'Base vs Growth vs Downside key'!W15-'Base vs Growth vs Downside key'!W14</f>
        <v>-10859.187999999998</v>
      </c>
      <c r="X16" s="10">
        <f>'Base vs Growth vs Downside key'!X15-'Base vs Growth vs Downside key'!X14</f>
        <v>-11686.859999999999</v>
      </c>
      <c r="Y16" s="10">
        <f>'Base vs Growth vs Downside key'!Y15-'Base vs Growth vs Downside key'!Y14</f>
        <v>-12255.46</v>
      </c>
    </row>
    <row r="17">
      <c r="A17" t="inlineStr" s="8">
        <is>
          <t xml:space="preserve">Ending cash</t>
        </is>
      </c>
      <c r="B17" s="10">
        <f>IF(IF(IF(IF(ISERROR('Model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inputs'!AA12))="",0,IF(IF(IF(ISERROR('Model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inputs'!AA12)))+'Model inputs'!B18</f>
        <v>22884.8</v>
      </c>
      <c r="C17" s="10">
        <f>IF(IF(IF(IF(ISERROR('Model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inputs'!AB26),IF('Base vs Growth vs Downside key'!B17="","",'Base vs Growth vs Downside key'!B17))="",0,IF(IF(IF(ISERROR('Model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inputs'!AB26),IF('Base vs Growth vs Downside key'!B17="","",'Base vs Growth vs Downside key'!B17)))+'Model inputs'!C18</f>
        <v>20769.6</v>
      </c>
      <c r="D17" s="10">
        <f>IF(IF(IF(IF(ISERROR('Model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inputs'!AB26),IF('Base vs Growth vs Downside key'!C17="","",'Base vs Growth vs Downside key'!C17))="",0,IF(IF(IF(ISERROR('Model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inputs'!AB26),IF('Base vs Growth vs Downside key'!C17="","",'Base vs Growth vs Downside key'!C17)))+'Model inputs'!D18</f>
        <v>18654.399999999998</v>
      </c>
      <c r="E17" s="10">
        <f>IF(IF(IF(IF(ISERROR('Model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inputs'!AB26),IF('Base vs Growth vs Downside key'!D17="","",'Base vs Growth vs Downside key'!D17))="",0,IF(IF(IF(ISERROR('Model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inputs'!AB26),IF('Base vs Growth vs Downside key'!D17="","",'Base vs Growth vs Downside key'!D17)))+'Model inputs'!E18</f>
        <v>16539.199999999997</v>
      </c>
      <c r="F17" s="10">
        <f>IF(IF(IF(IF(ISERROR('Model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inputs'!AB26),IF('Base vs Growth vs Downside key'!E17="","",'Base vs Growth vs Downside key'!E17))="",0,IF(IF(IF(ISERROR('Model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inputs'!AB26),IF('Base vs Growth vs Downside key'!E17="","",'Base vs Growth vs Downside key'!E17)))+'Model inputs'!F18</f>
        <v>14423.999999999996</v>
      </c>
      <c r="G17" s="10">
        <f>IF(IF(IF(IF(ISERROR('Model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inputs'!AB26),IF('Base vs Growth vs Downside key'!F17="","",'Base vs Growth vs Downside key'!F17))="",0,IF(IF(IF(ISERROR('Model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inputs'!AB26),IF('Base vs Growth vs Downside key'!F17="","",'Base vs Growth vs Downside key'!F17)))+'Model inputs'!G18</f>
        <v>12308.799999999996</v>
      </c>
      <c r="H17" s="10">
        <f>IF(IF(IF(IF(ISERROR('Model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inputs'!AB26),IF('Base vs Growth vs Downside key'!G17="","",'Base vs Growth vs Downside key'!G17))="",0,IF(IF(IF(ISERROR('Model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inputs'!AB26),IF('Base vs Growth vs Downside key'!G17="","",'Base vs Growth vs Downside key'!G17)))+'Model inputs'!H18</f>
        <v>10267.119999999995</v>
      </c>
      <c r="I17" s="10">
        <f>IF(IF(IF(IF(ISERROR('Model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inputs'!AB26),IF('Base vs Growth vs Downside key'!H17="","",'Base vs Growth vs Downside key'!H17))="",0,IF(IF(IF(ISERROR('Model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inputs'!AB26),IF('Base vs Growth vs Downside key'!H17="","",'Base vs Growth vs Downside key'!H17)))+'Model inputs'!I18</f>
        <v>8349.999999999996</v>
      </c>
      <c r="J17" s="10">
        <f>IF(IF(IF(IF(ISERROR('Model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inputs'!AB26),IF('Base vs Growth vs Downside key'!I17="","",'Base vs Growth vs Downside key'!I17))="",0,IF(IF(IF(ISERROR('Model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inputs'!AB26),IF('Base vs Growth vs Downside key'!I17="","",'Base vs Growth vs Downside key'!I17)))+'Model inputs'!J18</f>
        <v>6506.399999999996</v>
      </c>
      <c r="K17" s="10">
        <f>IF(IF(IF(IF(ISERROR('Model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inputs'!AB26),IF('Base vs Growth vs Downside key'!J17="","",'Base vs Growth vs Downside key'!J17))="",0,IF(IF(IF(ISERROR('Model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inputs'!AB26),IF('Base vs Growth vs Downside key'!J17="","",'Base vs Growth vs Downside key'!J17)))+'Model inputs'!K18</f>
        <v>4736.319999999996</v>
      </c>
      <c r="L17" s="10">
        <f>IF(IF(IF(IF(ISERROR('Model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inputs'!AB26),IF('Base vs Growth vs Downside key'!K17="","",'Base vs Growth vs Downside key'!K17))="",0,IF(IF(IF(ISERROR('Model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inputs'!AB26),IF('Base vs Growth vs Downside key'!K17="","",'Base vs Growth vs Downside key'!K17)))+'Model inputs'!L18</f>
        <v>3090.799999999996</v>
      </c>
      <c r="M17" s="10">
        <f>IF(IF(IF(IF(ISERROR('Model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inputs'!AB26),IF('Base vs Growth vs Downside key'!L17="","",'Base vs Growth vs Downside key'!L17))="",0,IF(IF(IF(ISERROR('Model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inputs'!AB26),IF('Base vs Growth vs Downside key'!L17="","",'Base vs Growth vs Downside key'!L17)))+'Model inputs'!M18</f>
        <v>1518.7999999999959</v>
      </c>
      <c r="N17" s="10">
        <f>IF(IF(IF(IF(ISERROR('Model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inputs'!AB26),IF('Base vs Growth vs Downside key'!M17="","",'Base vs Growth vs Downside key'!M17))="",0,IF(IF(IF(ISERROR('Model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inputs'!AB26),IF('Base vs Growth vs Downside key'!M17="","",'Base vs Growth vs Downside key'!M17)))+'Model inputs'!N18</f>
        <v>20.319999999995844</v>
      </c>
      <c r="O17" s="10">
        <f>IF(IF(IF(IF(ISERROR('Model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inputs'!AB26),IF('Base vs Growth vs Downside key'!N17="","",'Base vs Growth vs Downside key'!N17))="",0,IF(IF(IF(ISERROR('Model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inputs'!AB26),IF('Base vs Growth vs Downside key'!N17="","",'Base vs Growth vs Downside key'!N17)))+'Model inputs'!O18</f>
        <v>-1353.6000000000045</v>
      </c>
      <c r="P17" s="10">
        <f>IF(IF(IF(IF(ISERROR('Model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inputs'!AB26),IF('Base vs Growth vs Downside key'!O17="","",'Base vs Growth vs Downside key'!O17))="",0,IF(IF(IF(ISERROR('Model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inputs'!AB26),IF('Base vs Growth vs Downside key'!O17="","",'Base vs Growth vs Downside key'!O17)))+'Model inputs'!P18</f>
        <v>-2654.0000000000045</v>
      </c>
      <c r="Q17" s="10">
        <f>IF(IF(IF(IF(ISERROR('Model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inputs'!AB26),IF('Base vs Growth vs Downside key'!P17="","",'Base vs Growth vs Downside key'!P17))="",0,IF(IF(IF(ISERROR('Model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inputs'!AB26),IF('Base vs Growth vs Downside key'!P17="","",'Base vs Growth vs Downside key'!P17)))+'Model inputs'!Q18</f>
        <v>-3793.0800000000045</v>
      </c>
      <c r="R17" s="10">
        <f>IF(IF(IF(IF(ISERROR('Model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inputs'!AB26),IF('Base vs Growth vs Downside key'!Q17="","",'Base vs Growth vs Downside key'!Q17))="",0,IF(IF(IF(ISERROR('Model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inputs'!AB26),IF('Base vs Growth vs Downside key'!Q17="","",'Base vs Growth vs Downside key'!Q17)))+'Model inputs'!R18</f>
        <v>-4858.640000000005</v>
      </c>
      <c r="S17" s="10">
        <f>IF(IF(IF(IF(ISERROR('Model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inputs'!AB26),IF('Base vs Growth vs Downside key'!R17="","",'Base vs Growth vs Downside key'!R17))="",0,IF(IF(IF(ISERROR('Model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inputs'!AB26),IF('Base vs Growth vs Downside key'!R17="","",'Base vs Growth vs Downside key'!R17)))+'Model inputs'!S18</f>
        <v>-5762.880000000005</v>
      </c>
      <c r="T17" s="10">
        <f>IF(IF(IF(IF(ISERROR('Model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inputs'!AB26),IF('Base vs Growth vs Downside key'!S17="","",'Base vs Growth vs Downside key'!S17))="",0,IF(IF(IF(ISERROR('Model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inputs'!AB26),IF('Base vs Growth vs Downside key'!S17="","",'Base vs Growth vs Downside key'!S17)))+'Model inputs'!T18</f>
        <v>-6593.600000000004</v>
      </c>
      <c r="U17" s="10">
        <f>IF(IF(IF(IF(ISERROR('Model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inputs'!AB26),IF('Base vs Growth vs Downside key'!T17="","",'Base vs Growth vs Downside key'!T17))="",0,IF(IF(IF(ISERROR('Model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inputs'!AB26),IF('Base vs Growth vs Downside key'!T17="","",'Base vs Growth vs Downside key'!T17)))+'Model inputs'!U18</f>
        <v>-7263.000000000004</v>
      </c>
      <c r="V17" s="10">
        <f>IF(IF(IF(IF(ISERROR('Model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inputs'!AB26),IF('Base vs Growth vs Downside key'!U17="","",'Base vs Growth vs Downside key'!U17))="",0,IF(IF(IF(ISERROR('Model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inputs'!AB26),IF('Base vs Growth vs Downside key'!U17="","",'Base vs Growth vs Downside key'!U17)))+'Model inputs'!V18</f>
        <v>-7734.320000000003</v>
      </c>
      <c r="W17" s="10">
        <f>IF(IF(IF(IF(ISERROR('Model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inputs'!AB26),IF('Base vs Growth vs Downside key'!V17="","",'Base vs Growth vs Downside key'!V17))="",0,IF(IF(IF(ISERROR('Model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inputs'!AB26),IF('Base vs Growth vs Downside key'!V17="","",'Base vs Growth vs Downside key'!V17)))+'Model inputs'!W18</f>
        <v>-8132.1200000000035</v>
      </c>
      <c r="X17" s="10">
        <f>IF(IF(IF(IF(ISERROR('Model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inputs'!AB26),IF('Base vs Growth vs Downside key'!W17="","",'Base vs Growth vs Downside key'!W17))="",0,IF(IF(IF(ISERROR('Model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inputs'!AB26),IF('Base vs Growth vs Downside key'!W17="","",'Base vs Growth vs Downside key'!W17)))+'Model inputs'!X18</f>
        <v>-8368.600000000002</v>
      </c>
      <c r="Y17" s="10">
        <f>IF(IF(IF(IF(ISERROR('Model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inputs'!AB26),IF('Base vs Growth vs Downside key'!X17="","",'Base vs Growth vs Downside key'!X17))="",0,IF(IF(IF(ISERROR('Model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inputs'!AB26),IF('Base vs Growth vs Downside key'!X17="","",'Base vs Growth vs Downside key'!X17)))+'Model inputs'!Y18</f>
        <v>-8531.560000000001</v>
      </c>
    </row>
    <row r="18">
      <c r="A18" t="inlineStr" s="8">
        <is>
          <t xml:space="preserve">Ending cash &gt; Growth</t>
        </is>
      </c>
      <c r="B18" s="10">
        <f>IF(IF(IF(IF(ISERROR('Model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inputs'!AA13))="",0,IF(IF(IF(ISERROR('Model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inputs'!AA13)))+'Model inputs'!B19</f>
        <v>22884.8</v>
      </c>
      <c r="C18" s="10">
        <f>IF(IF(IF(IF(ISERROR('Model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inputs'!AB27),IF('Base vs Growth vs Downside key'!B18="","",'Base vs Growth vs Downside key'!B18))="",0,IF(IF(IF(ISERROR('Model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inputs'!AB27),IF('Base vs Growth vs Downside key'!B18="","",'Base vs Growth vs Downside key'!B18)))+'Model inputs'!C19</f>
        <v>20769.6</v>
      </c>
      <c r="D18" s="10">
        <f>IF(IF(IF(IF(ISERROR('Model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inputs'!AB27),IF('Base vs Growth vs Downside key'!C18="","",'Base vs Growth vs Downside key'!C18))="",0,IF(IF(IF(ISERROR('Model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inputs'!AB27),IF('Base vs Growth vs Downside key'!C18="","",'Base vs Growth vs Downside key'!C18)))+'Model inputs'!D19</f>
        <v>18654.399999999998</v>
      </c>
      <c r="E18" s="10">
        <f>IF(IF(IF(IF(ISERROR('Model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inputs'!AB27),IF('Base vs Growth vs Downside key'!D18="","",'Base vs Growth vs Downside key'!D18))="",0,IF(IF(IF(ISERROR('Model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inputs'!AB27),IF('Base vs Growth vs Downside key'!D18="","",'Base vs Growth vs Downside key'!D18)))+'Model inputs'!E19</f>
        <v>17033.695999999996</v>
      </c>
      <c r="F18" s="10">
        <f>IF(IF(IF(IF(ISERROR('Model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inputs'!AB27),IF('Base vs Growth vs Downside key'!E18="","",'Base vs Growth vs Downside key'!E18))="",0,IF(IF(IF(ISERROR('Model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inputs'!AB27),IF('Base vs Growth vs Downside key'!E18="","",'Base vs Growth vs Downside key'!E18)))+'Model inputs'!F19</f>
        <v>15708.239999999996</v>
      </c>
      <c r="G18" s="10">
        <f>IF(IF(IF(IF(ISERROR('Model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inputs'!AB27),IF('Base vs Growth vs Downside key'!F18="","",'Base vs Growth vs Downside key'!F18))="",0,IF(IF(IF(ISERROR('Model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inputs'!AB27),IF('Base vs Growth vs Downside key'!F18="","",'Base vs Growth vs Downside key'!F18)))+'Model inputs'!G19</f>
        <v>14877.279999999995</v>
      </c>
      <c r="H18" s="10">
        <f>IF(IF(IF(IF(ISERROR('Model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inputs'!AB27),IF('Base vs Growth vs Downside key'!G18="","",'Base vs Growth vs Downside key'!G18))="",0,IF(IF(IF(ISERROR('Model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inputs'!AB27),IF('Base vs Growth vs Downside key'!G18="","",'Base vs Growth vs Downside key'!G18)))+'Model inputs'!H19</f>
        <v>14614.627999999995</v>
      </c>
      <c r="I18" s="10">
        <f>IF(IF(IF(IF(ISERROR('Model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inputs'!AB27),IF('Base vs Growth vs Downside key'!H18="","",'Base vs Growth vs Downside key'!H18))="",0,IF(IF(IF(ISERROR('Model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inputs'!AB27),IF('Base vs Growth vs Downside key'!H18="","",'Base vs Growth vs Downside key'!H18)))+'Model inputs'!I19</f>
        <v>14920.283999999996</v>
      </c>
      <c r="J18" s="10">
        <f>IF(IF(IF(IF(ISERROR('Model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inputs'!AB27),IF('Base vs Growth vs Downside key'!I18="","",'Base vs Growth vs Downside key'!I18))="",0,IF(IF(IF(ISERROR('Model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inputs'!AB27),IF('Base vs Growth vs Downside key'!I18="","",'Base vs Growth vs Downside key'!I18)))+'Model inputs'!J19</f>
        <v>15868.059999999996</v>
      </c>
      <c r="K18" s="10">
        <f>IF(IF(IF(IF(ISERROR('Model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inputs'!AB27),IF('Base vs Growth vs Downside key'!J18="","",'Base vs Growth vs Downside key'!J18))="",0,IF(IF(IF(ISERROR('Model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inputs'!AB27),IF('Base vs Growth vs Downside key'!J18="","",'Base vs Growth vs Downside key'!J18)))+'Model inputs'!K19</f>
        <v>17384.143999999997</v>
      </c>
      <c r="L18" s="10">
        <f>IF(IF(IF(IF(ISERROR('Model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inputs'!AB27),IF('Base vs Growth vs Downside key'!K18="","",'Base vs Growth vs Downside key'!K18))="",0,IF(IF(IF(ISERROR('Model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inputs'!AB27),IF('Base vs Growth vs Downside key'!K18="","",'Base vs Growth vs Downside key'!K18)))+'Model inputs'!L19</f>
        <v>19468.535999999996</v>
      </c>
      <c r="M18" s="10">
        <f>IF(IF(IF(IF(ISERROR('Model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inputs'!AB27),IF('Base vs Growth vs Downside key'!L18="","",'Base vs Growth vs Downside key'!L18))="",0,IF(IF(IF(ISERROR('Model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inputs'!AB27),IF('Base vs Growth vs Downside key'!L18="","",'Base vs Growth vs Downside key'!L18)))+'Model inputs'!M19</f>
        <v>22121.235999999997</v>
      </c>
      <c r="N18" s="10">
        <f>IF(IF(IF(IF(ISERROR('Model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inputs'!AB27),IF('Base vs Growth vs Downside key'!M18="","",'Base vs Growth vs Downside key'!M18))="",0,IF(IF(IF(ISERROR('Model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inputs'!AB27),IF('Base vs Growth vs Downside key'!M18="","",'Base vs Growth vs Downside key'!M18)))+'Model inputs'!N19</f>
        <v>25416.055999999997</v>
      </c>
      <c r="O18" s="10">
        <f>IF(IF(IF(IF(ISERROR('Model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inputs'!AB27),IF('Base vs Growth vs Downside key'!N18="","",'Base vs Growth vs Downside key'!N18))="",0,IF(IF(IF(ISERROR('Model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inputs'!AB27),IF('Base vs Growth vs Downside key'!N18="","",'Base vs Growth vs Downside key'!N18)))+'Model inputs'!O19</f>
        <v>29699.867999999995</v>
      </c>
      <c r="P18" s="10">
        <f>IF(IF(IF(IF(ISERROR('Model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inputs'!AB27),IF('Base vs Growth vs Downside key'!O18="","",'Base vs Growth vs Downside key'!O18))="",0,IF(IF(IF(ISERROR('Model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inputs'!AB27),IF('Base vs Growth vs Downside key'!O18="","",'Base vs Growth vs Downside key'!O18)))+'Model inputs'!P19</f>
        <v>34625.799999999996</v>
      </c>
      <c r="Q18" s="10">
        <f>IF(IF(IF(IF(ISERROR('Model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inputs'!AB27),IF('Base vs Growth vs Downside key'!P18="","",'Base vs Growth vs Downside key'!P18))="",0,IF(IF(IF(ISERROR('Model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inputs'!AB27),IF('Base vs Growth vs Downside key'!P18="","",'Base vs Growth vs Downside key'!P18)))+'Model inputs'!Q19</f>
        <v>40540.723999999995</v>
      </c>
      <c r="R18" s="10">
        <f>IF(IF(IF(IF(ISERROR('Model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inputs'!AB27),IF('Base vs Growth vs Downside key'!Q18="","",'Base vs Growth vs Downside key'!Q18))="",0,IF(IF(IF(ISERROR('Model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inputs'!AB27),IF('Base vs Growth vs Downside key'!Q18="","",'Base vs Growth vs Downside key'!Q18)))+'Model inputs'!R19</f>
        <v>47097.768</v>
      </c>
      <c r="S18" s="10">
        <f>IF(IF(IF(IF(ISERROR('Model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inputs'!AB27),IF('Base vs Growth vs Downside key'!R18="","",'Base vs Growth vs Downside key'!R18))="",0,IF(IF(IF(ISERROR('Model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inputs'!AB27),IF('Base vs Growth vs Downside key'!R18="","",'Base vs Growth vs Downside key'!R18)))+'Model inputs'!S19</f>
        <v>54643.804</v>
      </c>
      <c r="T18" s="10">
        <f>IF(IF(IF(IF(ISERROR('Model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inputs'!AB27),IF('Base vs Growth vs Downside key'!S18="","",'Base vs Growth vs Downside key'!S18))="",0,IF(IF(IF(ISERROR('Model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inputs'!AB27),IF('Base vs Growth vs Downside key'!S18="","",'Base vs Growth vs Downside key'!S18)))+'Model inputs'!T19</f>
        <v>62831.95999999999</v>
      </c>
      <c r="U18" s="10">
        <f>IF(IF(IF(IF(ISERROR('Model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inputs'!AB27),IF('Base vs Growth vs Downside key'!T18="","",'Base vs Growth vs Downside key'!T18))="",0,IF(IF(IF(ISERROR('Model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inputs'!AB27),IF('Base vs Growth vs Downside key'!T18="","",'Base vs Growth vs Downside key'!T18)))+'Model inputs'!U19</f>
        <v>71662.23599999999</v>
      </c>
      <c r="V18" s="10">
        <f>IF(IF(IF(IF(ISERROR('Model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inputs'!AB27),IF('Base vs Growth vs Downside key'!U18="","",'Base vs Growth vs Downside key'!U18))="",0,IF(IF(IF(ISERROR('Model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inputs'!AB27),IF('Base vs Growth vs Downside key'!U18="","",'Base vs Growth vs Downside key'!U18)))+'Model inputs'!V19</f>
        <v>81481.50399999999</v>
      </c>
      <c r="W18" s="10">
        <f>IF(IF(IF(IF(ISERROR('Model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inputs'!AB27),IF('Base vs Growth vs Downside key'!V18="","",'Base vs Growth vs Downside key'!V18))="",0,IF(IF(IF(ISERROR('Model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inputs'!AB27),IF('Base vs Growth vs Downside key'!V18="","",'Base vs Growth vs Downside key'!V18)))+'Model inputs'!W19</f>
        <v>91942.89199999999</v>
      </c>
      <c r="X18" s="10">
        <f>IF(IF(IF(IF(ISERROR('Model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inputs'!AB27),IF('Base vs Growth vs Downside key'!W18="","",'Base vs Growth vs Downside key'!W18))="",0,IF(IF(IF(ISERROR('Model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inputs'!AB27),IF('Base vs Growth vs Downside key'!W18="","",'Base vs Growth vs Downside key'!W18)))+'Model inputs'!X19</f>
        <v>103393.272</v>
      </c>
      <c r="Y18" s="10">
        <f>IF(IF(IF(IF(ISERROR('Model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inputs'!AB27),IF('Base vs Growth vs Downside key'!X18="","",'Base vs Growth vs Downside key'!X18))="",0,IF(IF(IF(ISERROR('Model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inputs'!AB27),IF('Base vs Growth vs Downside key'!X18="","",'Base vs Growth vs Downside key'!X18)))+'Model inputs'!Y19</f>
        <v>115485.772</v>
      </c>
    </row>
    <row r="19">
      <c r="A19" t="inlineStr" s="8">
        <is>
          <t xml:space="preserve">Ending cash &gt; delta</t>
        </is>
      </c>
      <c r="B19" s="10">
        <f>'Base vs Growth vs Downside key'!B18-'Base vs Growth vs Downside key'!B17</f>
        <v>0</v>
      </c>
      <c r="C19" s="10">
        <f>'Base vs Growth vs Downside key'!C18-'Base vs Growth vs Downside key'!C17</f>
        <v>0</v>
      </c>
      <c r="D19" s="10">
        <f>'Base vs Growth vs Downside key'!D18-'Base vs Growth vs Downside key'!D17</f>
        <v>0</v>
      </c>
      <c r="E19" s="10">
        <f>'Base vs Growth vs Downside key'!E18-'Base vs Growth vs Downside key'!E17</f>
        <v>494.4959999999992</v>
      </c>
      <c r="F19" s="10">
        <f>'Base vs Growth vs Downside key'!F18-'Base vs Growth vs Downside key'!F17</f>
        <v>1284.2399999999998</v>
      </c>
      <c r="G19" s="10">
        <f>'Base vs Growth vs Downside key'!G18-'Base vs Growth vs Downside key'!G17</f>
        <v>2568.4799999999996</v>
      </c>
      <c r="H19" s="10">
        <f>'Base vs Growth vs Downside key'!H18-'Base vs Growth vs Downside key'!H17</f>
        <v>4347.508</v>
      </c>
      <c r="I19" s="10">
        <f>'Base vs Growth vs Downside key'!I18-'Base vs Growth vs Downside key'!I17</f>
        <v>6570.284</v>
      </c>
      <c r="J19" s="10">
        <f>'Base vs Growth vs Downside key'!J18-'Base vs Growth vs Downside key'!J17</f>
        <v>9361.66</v>
      </c>
      <c r="K19" s="10">
        <f>'Base vs Growth vs Downside key'!K18-'Base vs Growth vs Downside key'!K17</f>
        <v>12647.824</v>
      </c>
      <c r="L19" s="10">
        <f>'Base vs Growth vs Downside key'!L18-'Base vs Growth vs Downside key'!L17</f>
        <v>16377.736</v>
      </c>
      <c r="M19" s="10">
        <f>'Base vs Growth vs Downside key'!M18-'Base vs Growth vs Downside key'!M17</f>
        <v>20602.436</v>
      </c>
      <c r="N19" s="10">
        <f>'Base vs Growth vs Downside key'!N18-'Base vs Growth vs Downside key'!N17</f>
        <v>25395.736</v>
      </c>
      <c r="O19" s="10">
        <f>'Base vs Growth vs Downside key'!O18-'Base vs Growth vs Downside key'!O17</f>
        <v>31053.468</v>
      </c>
      <c r="P19" s="10">
        <f>'Base vs Growth vs Downside key'!P18-'Base vs Growth vs Downside key'!P17</f>
        <v>37279.8</v>
      </c>
      <c r="Q19" s="10">
        <f>'Base vs Growth vs Downside key'!Q18-'Base vs Growth vs Downside key'!Q17</f>
        <v>44333.804</v>
      </c>
      <c r="R19" s="10">
        <f>'Base vs Growth vs Downside key'!R18-'Base vs Growth vs Downside key'!R17</f>
        <v>51956.408</v>
      </c>
      <c r="S19" s="10">
        <f>'Base vs Growth vs Downside key'!S18-'Base vs Growth vs Downside key'!S17</f>
        <v>60406.684</v>
      </c>
      <c r="T19" s="10">
        <f>'Base vs Growth vs Downside key'!T18-'Base vs Growth vs Downside key'!T17</f>
        <v>69425.56</v>
      </c>
      <c r="U19" s="10">
        <f>'Base vs Growth vs Downside key'!U18-'Base vs Growth vs Downside key'!U17</f>
        <v>78925.23599999999</v>
      </c>
      <c r="V19" s="10">
        <f>'Base vs Growth vs Downside key'!V18-'Base vs Growth vs Downside key'!V17</f>
        <v>89215.824</v>
      </c>
      <c r="W19" s="10">
        <f>'Base vs Growth vs Downside key'!W18-'Base vs Growth vs Downside key'!W17</f>
        <v>100075.012</v>
      </c>
      <c r="X19" s="10">
        <f>'Base vs Growth vs Downside key'!X18-'Base vs Growth vs Downside key'!X17</f>
        <v>111761.872</v>
      </c>
      <c r="Y19" s="10">
        <f>'Base vs Growth vs Downside key'!Y18-'Base vs Growth vs Downside key'!Y17</f>
        <v>124017.332</v>
      </c>
    </row>
    <row r="20">
      <c r="A20" t="inlineStr" s="8">
        <is>
          <t xml:space="preserve">Months of runway</t>
        </is>
      </c>
      <c r="B20" s="12">
        <f>IF(IF(IF(ISERROR('Base vs Growth vs Downside key'!B14&gt;0),'Base vs Growth vs Downside key'!B14&gt;0,IF('Base vs Growth vs Downside key'!B14="","",'Base vs Growth vs Downside key'!B14&gt;0))="",FALSE,IF(ISERROR('Base vs Growth vs Downside key'!B14&gt;0),'Base vs Growth vs Downside key'!B14&gt;0,IF('Base vs Growth vs Downside key'!B14="","",'Base vs Growth vs Downside key'!B14&gt;0))),'Base vs Growth vs Downside key'!B17/'Base vs Growth vs Downside key'!B14,"")</f>
        <v>10.819213313161876</v>
      </c>
      <c r="C20" s="12">
        <f>IF(IF(IF(ISERROR('Base vs Growth vs Downside key'!C14&gt;0),'Base vs Growth vs Downside key'!C14&gt;0,IF('Base vs Growth vs Downside key'!C14="","",'Base vs Growth vs Downside key'!C14&gt;0))="",FALSE,IF(ISERROR('Base vs Growth vs Downside key'!C14&gt;0),'Base vs Growth vs Downside key'!C14&gt;0,IF('Base vs Growth vs Downside key'!C14="","",'Base vs Growth vs Downside key'!C14&gt;0))),'Base vs Growth vs Downside key'!C17/'Base vs Growth vs Downside key'!C14,"")</f>
        <v>9.819213313161876</v>
      </c>
      <c r="D20" s="12">
        <f>IF(IF(IF(ISERROR('Base vs Growth vs Downside key'!D14&gt;0),'Base vs Growth vs Downside key'!D14&gt;0,IF('Base vs Growth vs Downside key'!D14="","",'Base vs Growth vs Downside key'!D14&gt;0))="",FALSE,IF(ISERROR('Base vs Growth vs Downside key'!D14&gt;0),'Base vs Growth vs Downside key'!D14&gt;0,IF('Base vs Growth vs Downside key'!D14="","",'Base vs Growth vs Downside key'!D14&gt;0))),'Base vs Growth vs Downside key'!D17/'Base vs Growth vs Downside key'!D14,"")</f>
        <v>8.819213313161876</v>
      </c>
      <c r="E20" s="12">
        <f>IF(IF(IF(ISERROR('Base vs Growth vs Downside key'!E14&gt;0),'Base vs Growth vs Downside key'!E14&gt;0,IF('Base vs Growth vs Downside key'!E14="","",'Base vs Growth vs Downside key'!E14&gt;0))="",FALSE,IF(ISERROR('Base vs Growth vs Downside key'!E14&gt;0),'Base vs Growth vs Downside key'!E14&gt;0,IF('Base vs Growth vs Downside key'!E14="","",'Base vs Growth vs Downside key'!E14&gt;0))),'Base vs Growth vs Downside key'!E17/'Base vs Growth vs Downside key'!E14,"")</f>
        <v>7.8192133131618755</v>
      </c>
      <c r="F20" s="12">
        <f>IF(IF(IF(ISERROR('Base vs Growth vs Downside key'!F14&gt;0),'Base vs Growth vs Downside key'!F14&gt;0,IF('Base vs Growth vs Downside key'!F14="","",'Base vs Growth vs Downside key'!F14&gt;0))="",FALSE,IF(ISERROR('Base vs Growth vs Downside key'!F14&gt;0),'Base vs Growth vs Downside key'!F14&gt;0,IF('Base vs Growth vs Downside key'!F14="","",'Base vs Growth vs Downside key'!F14&gt;0))),'Base vs Growth vs Downside key'!F17/'Base vs Growth vs Downside key'!F14,"")</f>
        <v>6.819213313161875</v>
      </c>
      <c r="G20" s="12">
        <f>IF(IF(IF(ISERROR('Base vs Growth vs Downside key'!G14&gt;0),'Base vs Growth vs Downside key'!G14&gt;0,IF('Base vs Growth vs Downside key'!G14="","",'Base vs Growth vs Downside key'!G14&gt;0))="",FALSE,IF(ISERROR('Base vs Growth vs Downside key'!G14&gt;0),'Base vs Growth vs Downside key'!G14&gt;0,IF('Base vs Growth vs Downside key'!G14="","",'Base vs Growth vs Downside key'!G14&gt;0))),'Base vs Growth vs Downside key'!G17/'Base vs Growth vs Downside key'!G14,"")</f>
        <v>5.819213313161875</v>
      </c>
      <c r="H20" s="12">
        <f>IF(IF(IF(ISERROR('Base vs Growth vs Downside key'!H14&gt;0),'Base vs Growth vs Downside key'!H14&gt;0,IF('Base vs Growth vs Downside key'!H14="","",'Base vs Growth vs Downside key'!H14&gt;0))="",FALSE,IF(ISERROR('Base vs Growth vs Downside key'!H14&gt;0),'Base vs Growth vs Downside key'!H14&gt;0,IF('Base vs Growth vs Downside key'!H14="","",'Base vs Growth vs Downside key'!H14&gt;0))),'Base vs Growth vs Downside key'!H17/'Base vs Growth vs Downside key'!H14,"")</f>
        <v>5.028760628502016</v>
      </c>
      <c r="I20" s="12">
        <f>IF(IF(IF(ISERROR('Base vs Growth vs Downside key'!I14&gt;0),'Base vs Growth vs Downside key'!I14&gt;0,IF('Base vs Growth vs Downside key'!I14="","",'Base vs Growth vs Downside key'!I14&gt;0))="",FALSE,IF(ISERROR('Base vs Growth vs Downside key'!I14&gt;0),'Base vs Growth vs Downside key'!I14&gt;0,IF('Base vs Growth vs Downside key'!I14="","",'Base vs Growth vs Downside key'!I14&gt;0))),'Base vs Growth vs Downside key'!I17/'Base vs Growth vs Downside key'!I14,"")</f>
        <v>4.355491570689366</v>
      </c>
      <c r="J20" s="12">
        <f>IF(IF(IF(ISERROR('Base vs Growth vs Downside key'!J14&gt;0),'Base vs Growth vs Downside key'!J14&gt;0,IF('Base vs Growth vs Downside key'!J14="","",'Base vs Growth vs Downside key'!J14&gt;0))="",FALSE,IF(ISERROR('Base vs Growth vs Downside key'!J14&gt;0),'Base vs Growth vs Downside key'!J14&gt;0,IF('Base vs Growth vs Downside key'!J14="","",'Base vs Growth vs Downside key'!J14&gt;0))),'Base vs Growth vs Downside key'!J17/'Base vs Growth vs Downside key'!J14,"")</f>
        <v>3.5291820351486196</v>
      </c>
      <c r="K20" s="12">
        <f>IF(IF(IF(ISERROR('Base vs Growth vs Downside key'!K14&gt;0),'Base vs Growth vs Downside key'!K14&gt;0,IF('Base vs Growth vs Downside key'!K14="","",'Base vs Growth vs Downside key'!K14&gt;0))="",FALSE,IF(ISERROR('Base vs Growth vs Downside key'!K14&gt;0),'Base vs Growth vs Downside key'!K14&gt;0,IF('Base vs Growth vs Downside key'!K14="","",'Base vs Growth vs Downside key'!K14&gt;0))),'Base vs Growth vs Downside key'!K17/'Base vs Growth vs Downside key'!K14,"")</f>
        <v>2.6757660670704126</v>
      </c>
      <c r="L20" s="12">
        <f>IF(IF(IF(ISERROR('Base vs Growth vs Downside key'!L14&gt;0),'Base vs Growth vs Downside key'!L14&gt;0,IF('Base vs Growth vs Downside key'!L14="","",'Base vs Growth vs Downside key'!L14&gt;0))="",FALSE,IF(ISERROR('Base vs Growth vs Downside key'!L14&gt;0),'Base vs Growth vs Downside key'!L14&gt;0,IF('Base vs Growth vs Downside key'!L14="","",'Base vs Growth vs Downside key'!L14&gt;0))),'Base vs Growth vs Downside key'!L17/'Base vs Growth vs Downside key'!L14,"")</f>
        <v>1.878312022947151</v>
      </c>
      <c r="M20" s="12">
        <f>IF(IF(IF(ISERROR('Base vs Growth vs Downside key'!M14&gt;0),'Base vs Growth vs Downside key'!M14&gt;0,IF('Base vs Growth vs Downside key'!M14="","",'Base vs Growth vs Downside key'!M14&gt;0))="",FALSE,IF(ISERROR('Base vs Growth vs Downside key'!M14&gt;0),'Base vs Growth vs Downside key'!M14&gt;0,IF('Base vs Growth vs Downside key'!M14="","",'Base vs Growth vs Downside key'!M14&gt;0))),'Base vs Growth vs Downside key'!M17/'Base vs Growth vs Downside key'!M14,"")</f>
        <v>0.9661577608142466</v>
      </c>
      <c r="N20" s="12">
        <f>IF(IF(IF(ISERROR('Base vs Growth vs Downside key'!N14&gt;0),'Base vs Growth vs Downside key'!N14&gt;0,IF('Base vs Growth vs Downside key'!N14="","",'Base vs Growth vs Downside key'!N14&gt;0))="",FALSE,IF(ISERROR('Base vs Growth vs Downside key'!N14&gt;0),'Base vs Growth vs Downside key'!N14&gt;0,IF('Base vs Growth vs Downside key'!N14="","",'Base vs Growth vs Downside key'!N14&gt;0))),'Base vs Growth vs Downside key'!N17/'Base vs Growth vs Downside key'!N14,"")</f>
        <v>0.013560407879982278</v>
      </c>
      <c r="O20" s="12">
        <f>IF(IF(IF(ISERROR('Base vs Growth vs Downside key'!O14&gt;0),'Base vs Growth vs Downside key'!O14&gt;0,IF('Base vs Growth vs Downside key'!O14="","",'Base vs Growth vs Downside key'!O14&gt;0))="",FALSE,IF(ISERROR('Base vs Growth vs Downside key'!O14&gt;0),'Base vs Growth vs Downside key'!O14&gt;0,IF('Base vs Growth vs Downside key'!O14="","",'Base vs Growth vs Downside key'!O14&gt;0))),'Base vs Growth vs Downside key'!O17/'Base vs Growth vs Downside key'!O14,"")</f>
        <v>-0.9852102014673374</v>
      </c>
      <c r="P20" s="12">
        <f>IF(IF(IF(ISERROR('Base vs Growth vs Downside key'!P14&gt;0),'Base vs Growth vs Downside key'!P14&gt;0,IF('Base vs Growth vs Downside key'!P14="","",'Base vs Growth vs Downside key'!P14&gt;0))="",FALSE,IF(ISERROR('Base vs Growth vs Downside key'!P14&gt;0),'Base vs Growth vs Downside key'!P14&gt;0,IF('Base vs Growth vs Downside key'!P14="","",'Base vs Growth vs Downside key'!P14&gt;0))),'Base vs Growth vs Downside key'!P17/'Base vs Growth vs Downside key'!P14,"")</f>
        <v>-2.0409104890802863</v>
      </c>
      <c r="Q20" s="12">
        <f>IF(IF(IF(ISERROR('Base vs Growth vs Downside key'!Q14&gt;0),'Base vs Growth vs Downside key'!Q14&gt;0,IF('Base vs Growth vs Downside key'!Q14="","",'Base vs Growth vs Downside key'!Q14&gt;0))="",FALSE,IF(ISERROR('Base vs Growth vs Downside key'!Q14&gt;0),'Base vs Growth vs Downside key'!Q14&gt;0,IF('Base vs Growth vs Downside key'!Q14="","",'Base vs Growth vs Downside key'!Q14&gt;0))),'Base vs Growth vs Downside key'!Q17/'Base vs Growth vs Downside key'!Q14,"")</f>
        <v>-3.3299504863574154</v>
      </c>
      <c r="R20" s="12">
        <f>IF(IF(IF(ISERROR('Base vs Growth vs Downside key'!R14&gt;0),'Base vs Growth vs Downside key'!R14&gt;0,IF('Base vs Growth vs Downside key'!R14="","",'Base vs Growth vs Downside key'!R14&gt;0))="",FALSE,IF(ISERROR('Base vs Growth vs Downside key'!R14&gt;0),'Base vs Growth vs Downside key'!R14&gt;0,IF('Base vs Growth vs Downside key'!R14="","",'Base vs Growth vs Downside key'!R14&gt;0))),'Base vs Growth vs Downside key'!R17/'Base vs Growth vs Downside key'!R14,"")</f>
        <v>-4.559705694658213</v>
      </c>
      <c r="S20" s="12">
        <f>IF(IF(IF(ISERROR('Base vs Growth vs Downside key'!S14&gt;0),'Base vs Growth vs Downside key'!S14&gt;0,IF('Base vs Growth vs Downside key'!S14="","",'Base vs Growth vs Downside key'!S14&gt;0))="",FALSE,IF(ISERROR('Base vs Growth vs Downside key'!S14&gt;0),'Base vs Growth vs Downside key'!S14&gt;0,IF('Base vs Growth vs Downside key'!S14="","",'Base vs Growth vs Downside key'!S14&gt;0))),'Base vs Growth vs Downside key'!S17/'Base vs Growth vs Downside key'!S14,"")</f>
        <v>-6.373175263204469</v>
      </c>
      <c r="T20" s="12">
        <f>IF(IF(IF(ISERROR('Base vs Growth vs Downside key'!T14&gt;0),'Base vs Growth vs Downside key'!T14&gt;0,IF('Base vs Growth vs Downside key'!T14="","",'Base vs Growth vs Downside key'!T14&gt;0))="",FALSE,IF(ISERROR('Base vs Growth vs Downside key'!T14&gt;0),'Base vs Growth vs Downside key'!T14&gt;0,IF('Base vs Growth vs Downside key'!T14="","",'Base vs Growth vs Downside key'!T14&gt;0))),'Base vs Growth vs Downside key'!T17/'Base vs Growth vs Downside key'!T14,"")</f>
        <v>-7.937211093990761</v>
      </c>
      <c r="U20" s="12">
        <f>IF(IF(IF(ISERROR('Base vs Growth vs Downside key'!U14&gt;0),'Base vs Growth vs Downside key'!U14&gt;0,IF('Base vs Growth vs Downside key'!U14="","",'Base vs Growth vs Downside key'!U14&gt;0))="",FALSE,IF(ISERROR('Base vs Growth vs Downside key'!U14&gt;0),'Base vs Growth vs Downside key'!U14&gt;0,IF('Base vs Growth vs Downside key'!U14="","",'Base vs Growth vs Downside key'!U14&gt;0))),'Base vs Growth vs Downside key'!U17/'Base vs Growth vs Downside key'!U14,"")</f>
        <v>-10.850014938751125</v>
      </c>
      <c r="V20" s="12">
        <f>IF(IF(IF(ISERROR('Base vs Growth vs Downside key'!V14&gt;0),'Base vs Growth vs Downside key'!V14&gt;0,IF('Base vs Growth vs Downside key'!V14="","",'Base vs Growth vs Downside key'!V14&gt;0))="",FALSE,IF(ISERROR('Base vs Growth vs Downside key'!V14&gt;0),'Base vs Growth vs Downside key'!V14&gt;0,IF('Base vs Growth vs Downside key'!V14="","",'Base vs Growth vs Downside key'!V14&gt;0))),'Base vs Growth vs Downside key'!V17/'Base vs Growth vs Downside key'!V14,"")</f>
        <v>-16.409912585928897</v>
      </c>
      <c r="W20" s="12">
        <f>IF(IF(IF(ISERROR('Base vs Growth vs Downside key'!W14&gt;0),'Base vs Growth vs Downside key'!W14&gt;0,IF('Base vs Growth vs Downside key'!W14="","",'Base vs Growth vs Downside key'!W14&gt;0))="",FALSE,IF(ISERROR('Base vs Growth vs Downside key'!W14&gt;0),'Base vs Growth vs Downside key'!W14&gt;0,IF('Base vs Growth vs Downside key'!W14="","",'Base vs Growth vs Downside key'!W14&gt;0))),'Base vs Growth vs Downside key'!W17/'Base vs Growth vs Downside key'!W14,"")</f>
        <v>-20.44273504273504</v>
      </c>
      <c r="X20" s="12">
        <f>IF(IF(IF(ISERROR('Base vs Growth vs Downside key'!X14&gt;0),'Base vs Growth vs Downside key'!X14&gt;0,IF('Base vs Growth vs Downside key'!X14="","",'Base vs Growth vs Downside key'!X14&gt;0))="",FALSE,IF(ISERROR('Base vs Growth vs Downside key'!X14&gt;0),'Base vs Growth vs Downside key'!X14&gt;0,IF('Base vs Growth vs Downside key'!X14="","",'Base vs Growth vs Downside key'!X14&gt;0))),'Base vs Growth vs Downside key'!X17/'Base vs Growth vs Downside key'!X14,"")</f>
        <v>-35.38819350473621</v>
      </c>
      <c r="Y20" s="12">
        <f>IF(IF(IF(ISERROR('Base vs Growth vs Downside key'!Y14&gt;0),'Base vs Growth vs Downside key'!Y14&gt;0,IF('Base vs Growth vs Downside key'!Y14="","",'Base vs Growth vs Downside key'!Y14&gt;0))="",FALSE,IF(ISERROR('Base vs Growth vs Downside key'!Y14&gt;0),'Base vs Growth vs Downside key'!Y14&gt;0,IF('Base vs Growth vs Downside key'!Y14="","",'Base vs Growth vs Downside key'!Y14&gt;0))),'Base vs Growth vs Downside key'!Y17/'Base vs Growth vs Downside key'!Y14,"")</f>
        <v>-52.35370643102601</v>
      </c>
    </row>
    <row r="21">
      <c r="A21" t="inlineStr" s="8">
        <is>
          <t xml:space="preserve">Months of runway &gt; Growth</t>
        </is>
      </c>
      <c r="B21" s="12">
        <f>IF(IF(IF(ISERROR('Base vs Growth vs Downside key'!B15&gt;0),'Base vs Growth vs Downside key'!B15&gt;0,IF('Base vs Growth vs Downside key'!B15="","",'Base vs Growth vs Downside key'!B15&gt;0))="",FALSE,IF(ISERROR('Base vs Growth vs Downside key'!B15&gt;0),'Base vs Growth vs Downside key'!B15&gt;0,IF('Base vs Growth vs Downside key'!B15="","",'Base vs Growth vs Downside key'!B15&gt;0))),'Base vs Growth vs Downside key'!B18/'Base vs Growth vs Downside key'!B15,"")</f>
        <v>10.819213313161876</v>
      </c>
      <c r="C21" s="12">
        <f>IF(IF(IF(ISERROR('Base vs Growth vs Downside key'!C15&gt;0),'Base vs Growth vs Downside key'!C15&gt;0,IF('Base vs Growth vs Downside key'!C15="","",'Base vs Growth vs Downside key'!C15&gt;0))="",FALSE,IF(ISERROR('Base vs Growth vs Downside key'!C15&gt;0),'Base vs Growth vs Downside key'!C15&gt;0,IF('Base vs Growth vs Downside key'!C15="","",'Base vs Growth vs Downside key'!C15&gt;0))),'Base vs Growth vs Downside key'!C18/'Base vs Growth vs Downside key'!C15,"")</f>
        <v>9.819213313161876</v>
      </c>
      <c r="D21" s="12">
        <f>IF(IF(IF(ISERROR('Base vs Growth vs Downside key'!D15&gt;0),'Base vs Growth vs Downside key'!D15&gt;0,IF('Base vs Growth vs Downside key'!D15="","",'Base vs Growth vs Downside key'!D15&gt;0))="",FALSE,IF(ISERROR('Base vs Growth vs Downside key'!D15&gt;0),'Base vs Growth vs Downside key'!D15&gt;0,IF('Base vs Growth vs Downside key'!D15="","",'Base vs Growth vs Downside key'!D15&gt;0))),'Base vs Growth vs Downside key'!D18/'Base vs Growth vs Downside key'!D15,"")</f>
        <v>8.819213313161876</v>
      </c>
      <c r="E21" s="12">
        <f>IF(IF(IF(ISERROR('Base vs Growth vs Downside key'!E15&gt;0),'Base vs Growth vs Downside key'!E15&gt;0,IF('Base vs Growth vs Downside key'!E15="","",'Base vs Growth vs Downside key'!E15&gt;0))="",FALSE,IF(ISERROR('Base vs Growth vs Downside key'!E15&gt;0),'Base vs Growth vs Downside key'!E15&gt;0,IF('Base vs Growth vs Downside key'!E15="","",'Base vs Growth vs Downside key'!E15&gt;0))),'Base vs Growth vs Downside key'!E18/'Base vs Growth vs Downside key'!E15,"")</f>
        <v>10.510059825853455</v>
      </c>
      <c r="F21" s="12">
        <f>IF(IF(IF(ISERROR('Base vs Growth vs Downside key'!F15&gt;0),'Base vs Growth vs Downside key'!F15&gt;0,IF('Base vs Growth vs Downside key'!F15="","",'Base vs Growth vs Downside key'!F15&gt;0))="",FALSE,IF(ISERROR('Base vs Growth vs Downside key'!F15&gt;0),'Base vs Growth vs Downside key'!F15&gt;0,IF('Base vs Growth vs Downside key'!F15="","",'Base vs Growth vs Downside key'!F15&gt;0))),'Base vs Growth vs Downside key'!F18/'Base vs Growth vs Downside key'!F15,"")</f>
        <v>11.851196871114542</v>
      </c>
      <c r="G21" s="12">
        <f>IF(IF(IF(ISERROR('Base vs Growth vs Downside key'!G15&gt;0),'Base vs Growth vs Downside key'!G15&gt;0,IF('Base vs Growth vs Downside key'!G15="","",'Base vs Growth vs Downside key'!G15&gt;0))="",FALSE,IF(ISERROR('Base vs Growth vs Downside key'!G15&gt;0),'Base vs Growth vs Downside key'!G15&gt;0,IF('Base vs Growth vs Downside key'!G15="","",'Base vs Growth vs Downside key'!G15&gt;0))),'Base vs Growth vs Downside key'!G18/'Base vs Growth vs Downside key'!G15,"")</f>
        <v>17.903725811110036</v>
      </c>
      <c r="H21" s="12">
        <f>IF(IF(IF(ISERROR('Base vs Growth vs Downside key'!H15&gt;0),'Base vs Growth vs Downside key'!H15&gt;0,IF('Base vs Growth vs Downside key'!H15="","",'Base vs Growth vs Downside key'!H15&gt;0))="",FALSE,IF(ISERROR('Base vs Growth vs Downside key'!H15&gt;0),'Base vs Growth vs Downside key'!H15&gt;0,IF('Base vs Growth vs Downside key'!H15="","",'Base vs Growth vs Downside key'!H15&gt;0))),'Base vs Growth vs Downside key'!H18/'Base vs Growth vs Downside key'!H15,"")</f>
        <v>55.642553645127364</v>
      </c>
      <c r="I21" t="str" s="12">
        <f>IF(IF(IF(ISERROR('Base vs Growth vs Downside key'!I15&gt;0),'Base vs Growth vs Downside key'!I15&gt;0,IF('Base vs Growth vs Downside key'!I15="","",'Base vs Growth vs Downside key'!I15&gt;0))="",FALSE,IF(ISERROR('Base vs Growth vs Downside key'!I15&gt;0),'Base vs Growth vs Downside key'!I15&gt;0,IF('Base vs Growth vs Downside key'!I15="","",'Base vs Growth vs Downside key'!I15&gt;0))),'Base vs Growth vs Downside key'!I18/'Base vs Growth vs Downside key'!I15,"")</f>
        <v/>
      </c>
      <c r="J21" t="str" s="12">
        <f>IF(IF(IF(ISERROR('Base vs Growth vs Downside key'!J15&gt;0),'Base vs Growth vs Downside key'!J15&gt;0,IF('Base vs Growth vs Downside key'!J15="","",'Base vs Growth vs Downside key'!J15&gt;0))="",FALSE,IF(ISERROR('Base vs Growth vs Downside key'!J15&gt;0),'Base vs Growth vs Downside key'!J15&gt;0,IF('Base vs Growth vs Downside key'!J15="","",'Base vs Growth vs Downside key'!J15&gt;0))),'Base vs Growth vs Downside key'!J18/'Base vs Growth vs Downside key'!J15,"")</f>
        <v/>
      </c>
      <c r="K21" t="str" s="12">
        <f>IF(IF(IF(ISERROR('Base vs Growth vs Downside key'!K15&gt;0),'Base vs Growth vs Downside key'!K15&gt;0,IF('Base vs Growth vs Downside key'!K15="","",'Base vs Growth vs Downside key'!K15&gt;0))="",FALSE,IF(ISERROR('Base vs Growth vs Downside key'!K15&gt;0),'Base vs Growth vs Downside key'!K15&gt;0,IF('Base vs Growth vs Downside key'!K15="","",'Base vs Growth vs Downside key'!K15&gt;0))),'Base vs Growth vs Downside key'!K18/'Base vs Growth vs Downside key'!K15,"")</f>
        <v/>
      </c>
      <c r="L21" t="str" s="12">
        <f>IF(IF(IF(ISERROR('Base vs Growth vs Downside key'!L15&gt;0),'Base vs Growth vs Downside key'!L15&gt;0,IF('Base vs Growth vs Downside key'!L15="","",'Base vs Growth vs Downside key'!L15&gt;0))="",FALSE,IF(ISERROR('Base vs Growth vs Downside key'!L15&gt;0),'Base vs Growth vs Downside key'!L15&gt;0,IF('Base vs Growth vs Downside key'!L15="","",'Base vs Growth vs Downside key'!L15&gt;0))),'Base vs Growth vs Downside key'!L18/'Base vs Growth vs Downside key'!L15,"")</f>
        <v/>
      </c>
      <c r="M21" t="str" s="12">
        <f>IF(IF(IF(ISERROR('Base vs Growth vs Downside key'!M15&gt;0),'Base vs Growth vs Downside key'!M15&gt;0,IF('Base vs Growth vs Downside key'!M15="","",'Base vs Growth vs Downside key'!M15&gt;0))="",FALSE,IF(ISERROR('Base vs Growth vs Downside key'!M15&gt;0),'Base vs Growth vs Downside key'!M15&gt;0,IF('Base vs Growth vs Downside key'!M15="","",'Base vs Growth vs Downside key'!M15&gt;0))),'Base vs Growth vs Downside key'!M18/'Base vs Growth vs Downside key'!M15,"")</f>
        <v/>
      </c>
      <c r="N21" t="str" s="12">
        <f>IF(IF(IF(ISERROR('Base vs Growth vs Downside key'!N15&gt;0),'Base vs Growth vs Downside key'!N15&gt;0,IF('Base vs Growth vs Downside key'!N15="","",'Base vs Growth vs Downside key'!N15&gt;0))="",FALSE,IF(ISERROR('Base vs Growth vs Downside key'!N15&gt;0),'Base vs Growth vs Downside key'!N15&gt;0,IF('Base vs Growth vs Downside key'!N15="","",'Base vs Growth vs Downside key'!N15&gt;0))),'Base vs Growth vs Downside key'!N18/'Base vs Growth vs Downside key'!N15,"")</f>
        <v/>
      </c>
      <c r="O21" t="str" s="12">
        <f>IF(IF(IF(ISERROR('Base vs Growth vs Downside key'!O15&gt;0),'Base vs Growth vs Downside key'!O15&gt;0,IF('Base vs Growth vs Downside key'!O15="","",'Base vs Growth vs Downside key'!O15&gt;0))="",FALSE,IF(ISERROR('Base vs Growth vs Downside key'!O15&gt;0),'Base vs Growth vs Downside key'!O15&gt;0,IF('Base vs Growth vs Downside key'!O15="","",'Base vs Growth vs Downside key'!O15&gt;0))),'Base vs Growth vs Downside key'!O18/'Base vs Growth vs Downside key'!O15,"")</f>
        <v/>
      </c>
      <c r="P21" t="str" s="12">
        <f>IF(IF(IF(ISERROR('Base vs Growth vs Downside key'!P15&gt;0),'Base vs Growth vs Downside key'!P15&gt;0,IF('Base vs Growth vs Downside key'!P15="","",'Base vs Growth vs Downside key'!P15&gt;0))="",FALSE,IF(ISERROR('Base vs Growth vs Downside key'!P15&gt;0),'Base vs Growth vs Downside key'!P15&gt;0,IF('Base vs Growth vs Downside key'!P15="","",'Base vs Growth vs Downside key'!P15&gt;0))),'Base vs Growth vs Downside key'!P18/'Base vs Growth vs Downside key'!P15,"")</f>
        <v/>
      </c>
      <c r="Q21" t="str" s="12">
        <f>IF(IF(IF(ISERROR('Base vs Growth vs Downside key'!Q15&gt;0),'Base vs Growth vs Downside key'!Q15&gt;0,IF('Base vs Growth vs Downside key'!Q15="","",'Base vs Growth vs Downside key'!Q15&gt;0))="",FALSE,IF(ISERROR('Base vs Growth vs Downside key'!Q15&gt;0),'Base vs Growth vs Downside key'!Q15&gt;0,IF('Base vs Growth vs Downside key'!Q15="","",'Base vs Growth vs Downside key'!Q15&gt;0))),'Base vs Growth vs Downside key'!Q18/'Base vs Growth vs Downside key'!Q15,"")</f>
        <v/>
      </c>
      <c r="R21" t="str" s="12">
        <f>IF(IF(IF(ISERROR('Base vs Growth vs Downside key'!R15&gt;0),'Base vs Growth vs Downside key'!R15&gt;0,IF('Base vs Growth vs Downside key'!R15="","",'Base vs Growth vs Downside key'!R15&gt;0))="",FALSE,IF(ISERROR('Base vs Growth vs Downside key'!R15&gt;0),'Base vs Growth vs Downside key'!R15&gt;0,IF('Base vs Growth vs Downside key'!R15="","",'Base vs Growth vs Downside key'!R15&gt;0))),'Base vs Growth vs Downside key'!R18/'Base vs Growth vs Downside key'!R15,"")</f>
        <v/>
      </c>
      <c r="S21" t="str" s="12">
        <f>IF(IF(IF(ISERROR('Base vs Growth vs Downside key'!S15&gt;0),'Base vs Growth vs Downside key'!S15&gt;0,IF('Base vs Growth vs Downside key'!S15="","",'Base vs Growth vs Downside key'!S15&gt;0))="",FALSE,IF(ISERROR('Base vs Growth vs Downside key'!S15&gt;0),'Base vs Growth vs Downside key'!S15&gt;0,IF('Base vs Growth vs Downside key'!S15="","",'Base vs Growth vs Downside key'!S15&gt;0))),'Base vs Growth vs Downside key'!S18/'Base vs Growth vs Downside key'!S15,"")</f>
        <v/>
      </c>
      <c r="T21" t="str" s="12">
        <f>IF(IF(IF(ISERROR('Base vs Growth vs Downside key'!T15&gt;0),'Base vs Growth vs Downside key'!T15&gt;0,IF('Base vs Growth vs Downside key'!T15="","",'Base vs Growth vs Downside key'!T15&gt;0))="",FALSE,IF(ISERROR('Base vs Growth vs Downside key'!T15&gt;0),'Base vs Growth vs Downside key'!T15&gt;0,IF('Base vs Growth vs Downside key'!T15="","",'Base vs Growth vs Downside key'!T15&gt;0))),'Base vs Growth vs Downside key'!T18/'Base vs Growth vs Downside key'!T15,"")</f>
        <v/>
      </c>
      <c r="U21" t="str" s="12">
        <f>IF(IF(IF(ISERROR('Base vs Growth vs Downside key'!U15&gt;0),'Base vs Growth vs Downside key'!U15&gt;0,IF('Base vs Growth vs Downside key'!U15="","",'Base vs Growth vs Downside key'!U15&gt;0))="",FALSE,IF(ISERROR('Base vs Growth vs Downside key'!U15&gt;0),'Base vs Growth vs Downside key'!U15&gt;0,IF('Base vs Growth vs Downside key'!U15="","",'Base vs Growth vs Downside key'!U15&gt;0))),'Base vs Growth vs Downside key'!U18/'Base vs Growth vs Downside key'!U15,"")</f>
        <v/>
      </c>
      <c r="V21" t="str" s="12">
        <f>IF(IF(IF(ISERROR('Base vs Growth vs Downside key'!V15&gt;0),'Base vs Growth vs Downside key'!V15&gt;0,IF('Base vs Growth vs Downside key'!V15="","",'Base vs Growth vs Downside key'!V15&gt;0))="",FALSE,IF(ISERROR('Base vs Growth vs Downside key'!V15&gt;0),'Base vs Growth vs Downside key'!V15&gt;0,IF('Base vs Growth vs Downside key'!V15="","",'Base vs Growth vs Downside key'!V15&gt;0))),'Base vs Growth vs Downside key'!V18/'Base vs Growth vs Downside key'!V15,"")</f>
        <v/>
      </c>
      <c r="W21" t="str" s="12">
        <f>IF(IF(IF(ISERROR('Base vs Growth vs Downside key'!W15&gt;0),'Base vs Growth vs Downside key'!W15&gt;0,IF('Base vs Growth vs Downside key'!W15="","",'Base vs Growth vs Downside key'!W15&gt;0))="",FALSE,IF(ISERROR('Base vs Growth vs Downside key'!W15&gt;0),'Base vs Growth vs Downside key'!W15&gt;0,IF('Base vs Growth vs Downside key'!W15="","",'Base vs Growth vs Downside key'!W15&gt;0))),'Base vs Growth vs Downside key'!W18/'Base vs Growth vs Downside key'!W15,"")</f>
        <v/>
      </c>
      <c r="X21" t="str" s="12">
        <f>IF(IF(IF(ISERROR('Base vs Growth vs Downside key'!X15&gt;0),'Base vs Growth vs Downside key'!X15&gt;0,IF('Base vs Growth vs Downside key'!X15="","",'Base vs Growth vs Downside key'!X15&gt;0))="",FALSE,IF(ISERROR('Base vs Growth vs Downside key'!X15&gt;0),'Base vs Growth vs Downside key'!X15&gt;0,IF('Base vs Growth vs Downside key'!X15="","",'Base vs Growth vs Downside key'!X15&gt;0))),'Base vs Growth vs Downside key'!X18/'Base vs Growth vs Downside key'!X15,"")</f>
        <v/>
      </c>
      <c r="Y21" t="str" s="12">
        <f>IF(IF(IF(ISERROR('Base vs Growth vs Downside key'!Y15&gt;0),'Base vs Growth vs Downside key'!Y15&gt;0,IF('Base vs Growth vs Downside key'!Y15="","",'Base vs Growth vs Downside key'!Y15&gt;0))="",FALSE,IF(ISERROR('Base vs Growth vs Downside key'!Y15&gt;0),'Base vs Growth vs Downside key'!Y15&gt;0,IF('Base vs Growth vs Downside key'!Y15="","",'Base vs Growth vs Downside key'!Y15&gt;0))),'Base vs Growth vs Downside key'!Y18/'Base vs Growth vs Downside key'!Y15,"")</f>
        <v/>
      </c>
    </row>
    <row r="22">
      <c r="A22" t="inlineStr" s="6">
        <is>
          <t xml:space="preserve">Months of runway &gt; delta</t>
        </is>
      </c>
      <c r="B22" s="13">
        <f>'Base vs Growth vs Downside key'!B21-'Base vs Growth vs Downside key'!B20</f>
        <v>0</v>
      </c>
      <c r="C22" s="13">
        <f>'Base vs Growth vs Downside key'!C21-'Base vs Growth vs Downside key'!C20</f>
        <v>0</v>
      </c>
      <c r="D22" s="13">
        <f>'Base vs Growth vs Downside key'!D21-'Base vs Growth vs Downside key'!D20</f>
        <v>0</v>
      </c>
      <c r="E22" s="13">
        <f>'Base vs Growth vs Downside key'!E21-'Base vs Growth vs Downside key'!E20</f>
        <v>2.6908465126915795</v>
      </c>
      <c r="F22" s="13">
        <f>'Base vs Growth vs Downside key'!F21-'Base vs Growth vs Downside key'!F20</f>
        <v>5.0319835579526675</v>
      </c>
      <c r="G22" s="13">
        <f>'Base vs Growth vs Downside key'!G21-'Base vs Growth vs Downside key'!G20</f>
        <v>12.084512497948161</v>
      </c>
      <c r="H22" s="13">
        <f>'Base vs Growth vs Downside key'!H21-'Base vs Growth vs Downside key'!H20</f>
        <v>50.61379301662535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AB13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2026-11</t>
        </is>
      </c>
      <c r="C5" t="inlineStr" s="4">
        <is>
          <t xml:space="preserve">2026-12</t>
        </is>
      </c>
      <c r="D5" t="inlineStr" s="5">
        <is>
          <t xml:space="preserve">2027-01</t>
        </is>
      </c>
      <c r="E5" t="inlineStr" s="4">
        <is>
          <t xml:space="preserve">2027-02</t>
        </is>
      </c>
      <c r="F5" t="inlineStr" s="4">
        <is>
          <t xml:space="preserve">2027-03</t>
        </is>
      </c>
      <c r="G5" t="inlineStr" s="5">
        <is>
          <t xml:space="preserve">2027-04</t>
        </is>
      </c>
      <c r="H5" t="inlineStr" s="4">
        <is>
          <t xml:space="preserve">2027-05</t>
        </is>
      </c>
      <c r="I5" t="inlineStr" s="4">
        <is>
          <t xml:space="preserve">2027-06</t>
        </is>
      </c>
      <c r="J5" t="inlineStr" s="5">
        <is>
          <t xml:space="preserve">2027-07</t>
        </is>
      </c>
      <c r="K5" t="inlineStr" s="4">
        <is>
          <t xml:space="preserve">2027-08</t>
        </is>
      </c>
      <c r="L5" t="inlineStr" s="4">
        <is>
          <t xml:space="preserve">2027-09</t>
        </is>
      </c>
      <c r="M5" t="inlineStr" s="5">
        <is>
          <t xml:space="preserve">2027-10</t>
        </is>
      </c>
      <c r="N5" t="inlineStr" s="4">
        <is>
          <t xml:space="preserve">2027-11</t>
        </is>
      </c>
      <c r="O5" t="inlineStr" s="4">
        <is>
          <t xml:space="preserve">2027-12</t>
        </is>
      </c>
      <c r="P5" t="inlineStr" s="5">
        <is>
          <t xml:space="preserve">2028-01</t>
        </is>
      </c>
      <c r="Q5" t="inlineStr" s="4">
        <is>
          <t xml:space="preserve">2028-02</t>
        </is>
      </c>
      <c r="R5" t="inlineStr" s="4">
        <is>
          <t xml:space="preserve">2028-03</t>
        </is>
      </c>
      <c r="S5" t="inlineStr" s="5">
        <is>
          <t xml:space="preserve">2028-04</t>
        </is>
      </c>
      <c r="T5" t="inlineStr" s="4">
        <is>
          <t xml:space="preserve">2028-05</t>
        </is>
      </c>
      <c r="U5" t="inlineStr" s="4">
        <is>
          <t xml:space="preserve">2028-06</t>
        </is>
      </c>
      <c r="V5" t="inlineStr" s="5">
        <is>
          <t xml:space="preserve">2028-07</t>
        </is>
      </c>
      <c r="W5" t="inlineStr" s="4">
        <is>
          <t xml:space="preserve">2028-08</t>
        </is>
      </c>
      <c r="X5" t="inlineStr" s="4">
        <is>
          <t xml:space="preserve">2028-09</t>
        </is>
      </c>
      <c r="Y5" t="inlineStr" s="5">
        <is>
          <t xml:space="preserve">2028-10</t>
        </is>
      </c>
      <c r="Z5" t="inlineStr" s="4">
        <is>
          <t xml:space="preserve">2026-09</t>
        </is>
      </c>
      <c r="AA5" t="inlineStr" s="5">
        <is>
          <t xml:space="preserve">2026-10</t>
        </is>
      </c>
      <c r="AB5" t="inlineStr" s="4">
        <is>
          <t xml:space="preserve">Value</t>
        </is>
      </c>
    </row>
    <row r="6">
      <c r="A6" t="inlineStr" s="15">
        <is>
          <t xml:space="preserve">Customers</t>
        </is>
      </c>
      <c r="B6" s="7">
        <f>SUM('Model inputs'!B7,'Model inputs'!B8)</f>
        <v>0</v>
      </c>
      <c r="C6" s="7">
        <f>SUM('Model inputs'!C7,'Model inputs'!C8)</f>
        <v>0</v>
      </c>
      <c r="D6" s="7">
        <f>SUM('Model inputs'!D7,'Model inputs'!D8)</f>
        <v>0</v>
      </c>
      <c r="E6" s="7">
        <f>SUM('Model inputs'!E7,'Model inputs'!E8)</f>
        <v>0</v>
      </c>
      <c r="F6" s="7">
        <f>SUM('Model inputs'!F7,'Model inputs'!F8)</f>
        <v>0</v>
      </c>
      <c r="G6" s="7">
        <f>SUM('Model inputs'!G7,'Model inputs'!G8)</f>
        <v>0</v>
      </c>
      <c r="H6" s="7">
        <f>SUM('Model inputs'!H7,'Model inputs'!H8)</f>
        <v>2</v>
      </c>
      <c r="I6" s="7">
        <f>SUM('Model inputs'!I7,'Model inputs'!I8)</f>
        <v>4</v>
      </c>
      <c r="J6" s="7">
        <f>SUM('Model inputs'!J7,'Model inputs'!J8)</f>
        <v>6</v>
      </c>
      <c r="K6" s="7">
        <f>SUM('Model inputs'!K7,'Model inputs'!K8)</f>
        <v>8</v>
      </c>
      <c r="L6" s="7">
        <f>SUM('Model inputs'!L7,'Model inputs'!L8)</f>
        <v>10</v>
      </c>
      <c r="M6" s="7">
        <f>SUM('Model inputs'!M7,'Model inputs'!M8)</f>
        <v>12</v>
      </c>
      <c r="N6" s="7">
        <f>SUM('Model inputs'!N7,'Model inputs'!N8)</f>
        <v>14</v>
      </c>
      <c r="O6" s="7">
        <f>SUM('Model inputs'!O7,'Model inputs'!O8)</f>
        <v>16</v>
      </c>
      <c r="P6" s="7">
        <f>SUM('Model inputs'!P7,'Model inputs'!P8)</f>
        <v>18</v>
      </c>
      <c r="Q6" s="7">
        <f>SUM('Model inputs'!Q7,'Model inputs'!Q8)</f>
        <v>21</v>
      </c>
      <c r="R6" s="7">
        <f>SUM('Model inputs'!R7,'Model inputs'!R8)</f>
        <v>23</v>
      </c>
      <c r="S6" s="7">
        <f>SUM('Model inputs'!S7,'Model inputs'!S8)</f>
        <v>26</v>
      </c>
      <c r="T6" s="7">
        <f>SUM('Model inputs'!T7,'Model inputs'!T8)</f>
        <v>28</v>
      </c>
      <c r="U6" s="7">
        <f>SUM('Model inputs'!U7,'Model inputs'!U8)</f>
        <v>31</v>
      </c>
      <c r="V6" s="7">
        <f>SUM('Model inputs'!V7,'Model inputs'!V8)</f>
        <v>35</v>
      </c>
      <c r="W6" s="7">
        <f>SUM('Model inputs'!W7,'Model inputs'!W8)</f>
        <v>37</v>
      </c>
      <c r="X6" s="7">
        <f>SUM('Model inputs'!X7,'Model inputs'!X8)</f>
        <v>40</v>
      </c>
      <c r="Y6" s="7">
        <f>SUM('Model inputs'!Y7,'Model inputs'!Y8)</f>
        <v>42</v>
      </c>
    </row>
    <row r="7" outlineLevel="1">
      <c r="A7" t="inlineStr" s="16">
        <is>
          <t xml:space="preserve">Customers &gt; Starter</t>
        </is>
      </c>
      <c r="B7" s="9">
        <f>IF(IF(('Model inputs'!B16-'Model inputs'!AB60)&lt;1="",FALSE,('Model inputs'!B16-'Model inputs'!AB60)&lt;1),0,ROUND(IF(IF(('Model inputs'!B16-'Model inputs'!AB60)&lt;=3="",FALSE,('Model inputs'!B16-'Model inputs'!AB60)&lt;=3),IF('Model inputs'!AB49="","",'Model inputs'!AB49),IF(IF(('Model inputs'!B16-'Model inputs'!AB60)&lt;=6="",FALSE,('Model inputs'!B16-'Model inputs'!AB60)&lt;=6),'Model inputs'!AB49+('Model inputs'!AB55-'Model inputs'!AB49)*(('Model inputs'!B16-'Model inputs'!AB60)-3)/3,IF(IF(('Model inputs'!B16-'Model inputs'!AB60)&lt;=12="",FALSE,('Model inputs'!B16-'Model inputs'!AB60)&lt;=12),'Model inputs'!AB55+('Model inputs'!AB37-'Model inputs'!AB55)*(('Model inputs'!B16-'Model inputs'!AB60)-6)/6,'Model inputs'!AB37+('Model inputs'!AB43-'Model inputs'!AB37)*(('Model inputs'!B16-'Model inputs'!AB60)-12)/12))),0))</f>
        <v>0</v>
      </c>
      <c r="C7" s="9">
        <f>IF(IF(('Model inputs'!C16-'Model inputs'!AB60)&lt;1="",FALSE,('Model inputs'!C16-'Model inputs'!AB60)&lt;1),0,ROUND(IF(IF(('Model inputs'!C16-'Model inputs'!AB60)&lt;=3="",FALSE,('Model inputs'!C16-'Model inputs'!AB60)&lt;=3),IF('Model inputs'!AB49="","",'Model inputs'!AB49),IF(IF(('Model inputs'!C16-'Model inputs'!AB60)&lt;=6="",FALSE,('Model inputs'!C16-'Model inputs'!AB60)&lt;=6),'Model inputs'!AB49+('Model inputs'!AB55-'Model inputs'!AB49)*(('Model inputs'!C16-'Model inputs'!AB60)-3)/3,IF(IF(('Model inputs'!C16-'Model inputs'!AB60)&lt;=12="",FALSE,('Model inputs'!C16-'Model inputs'!AB60)&lt;=12),'Model inputs'!AB55+('Model inputs'!AB37-'Model inputs'!AB55)*(('Model inputs'!C16-'Model inputs'!AB60)-6)/6,'Model inputs'!AB37+('Model inputs'!AB43-'Model inputs'!AB37)*(('Model inputs'!C16-'Model inputs'!AB60)-12)/12))),0))</f>
        <v>0</v>
      </c>
      <c r="D7" s="9">
        <f>IF(IF(('Model inputs'!D16-'Model inputs'!AB60)&lt;1="",FALSE,('Model inputs'!D16-'Model inputs'!AB60)&lt;1),0,ROUND(IF(IF(('Model inputs'!D16-'Model inputs'!AB60)&lt;=3="",FALSE,('Model inputs'!D16-'Model inputs'!AB60)&lt;=3),IF('Model inputs'!AB49="","",'Model inputs'!AB49),IF(IF(('Model inputs'!D16-'Model inputs'!AB60)&lt;=6="",FALSE,('Model inputs'!D16-'Model inputs'!AB60)&lt;=6),'Model inputs'!AB49+('Model inputs'!AB55-'Model inputs'!AB49)*(('Model inputs'!D16-'Model inputs'!AB60)-3)/3,IF(IF(('Model inputs'!D16-'Model inputs'!AB60)&lt;=12="",FALSE,('Model inputs'!D16-'Model inputs'!AB60)&lt;=12),'Model inputs'!AB55+('Model inputs'!AB37-'Model inputs'!AB55)*(('Model inputs'!D16-'Model inputs'!AB60)-6)/6,'Model inputs'!AB37+('Model inputs'!AB43-'Model inputs'!AB37)*(('Model inputs'!D16-'Model inputs'!AB60)-12)/12))),0))</f>
        <v>0</v>
      </c>
      <c r="E7" s="9">
        <f>IF(IF(('Model inputs'!E16-'Model inputs'!AB60)&lt;1="",FALSE,('Model inputs'!E16-'Model inputs'!AB60)&lt;1),0,ROUND(IF(IF(('Model inputs'!E16-'Model inputs'!AB60)&lt;=3="",FALSE,('Model inputs'!E16-'Model inputs'!AB60)&lt;=3),IF('Model inputs'!AB49="","",'Model inputs'!AB49),IF(IF(('Model inputs'!E16-'Model inputs'!AB60)&lt;=6="",FALSE,('Model inputs'!E16-'Model inputs'!AB60)&lt;=6),'Model inputs'!AB49+('Model inputs'!AB55-'Model inputs'!AB49)*(('Model inputs'!E16-'Model inputs'!AB60)-3)/3,IF(IF(('Model inputs'!E16-'Model inputs'!AB60)&lt;=12="",FALSE,('Model inputs'!E16-'Model inputs'!AB60)&lt;=12),'Model inputs'!AB55+('Model inputs'!AB37-'Model inputs'!AB55)*(('Model inputs'!E16-'Model inputs'!AB60)-6)/6,'Model inputs'!AB37+('Model inputs'!AB43-'Model inputs'!AB37)*(('Model inputs'!E16-'Model inputs'!AB60)-12)/12))),0))</f>
        <v>0</v>
      </c>
      <c r="F7" s="9">
        <f>IF(IF(('Model inputs'!F16-'Model inputs'!AB60)&lt;1="",FALSE,('Model inputs'!F16-'Model inputs'!AB60)&lt;1),0,ROUND(IF(IF(('Model inputs'!F16-'Model inputs'!AB60)&lt;=3="",FALSE,('Model inputs'!F16-'Model inputs'!AB60)&lt;=3),IF('Model inputs'!AB49="","",'Model inputs'!AB49),IF(IF(('Model inputs'!F16-'Model inputs'!AB60)&lt;=6="",FALSE,('Model inputs'!F16-'Model inputs'!AB60)&lt;=6),'Model inputs'!AB49+('Model inputs'!AB55-'Model inputs'!AB49)*(('Model inputs'!F16-'Model inputs'!AB60)-3)/3,IF(IF(('Model inputs'!F16-'Model inputs'!AB60)&lt;=12="",FALSE,('Model inputs'!F16-'Model inputs'!AB60)&lt;=12),'Model inputs'!AB55+('Model inputs'!AB37-'Model inputs'!AB55)*(('Model inputs'!F16-'Model inputs'!AB60)-6)/6,'Model inputs'!AB37+('Model inputs'!AB43-'Model inputs'!AB37)*(('Model inputs'!F16-'Model inputs'!AB60)-12)/12))),0))</f>
        <v>0</v>
      </c>
      <c r="G7" s="9">
        <f>IF(IF(('Model inputs'!G16-'Model inputs'!AB60)&lt;1="",FALSE,('Model inputs'!G16-'Model inputs'!AB60)&lt;1),0,ROUND(IF(IF(('Model inputs'!G16-'Model inputs'!AB60)&lt;=3="",FALSE,('Model inputs'!G16-'Model inputs'!AB60)&lt;=3),IF('Model inputs'!AB49="","",'Model inputs'!AB49),IF(IF(('Model inputs'!G16-'Model inputs'!AB60)&lt;=6="",FALSE,('Model inputs'!G16-'Model inputs'!AB60)&lt;=6),'Model inputs'!AB49+('Model inputs'!AB55-'Model inputs'!AB49)*(('Model inputs'!G16-'Model inputs'!AB60)-3)/3,IF(IF(('Model inputs'!G16-'Model inputs'!AB60)&lt;=12="",FALSE,('Model inputs'!G16-'Model inputs'!AB60)&lt;=12),'Model inputs'!AB55+('Model inputs'!AB37-'Model inputs'!AB55)*(('Model inputs'!G16-'Model inputs'!AB60)-6)/6,'Model inputs'!AB37+('Model inputs'!AB43-'Model inputs'!AB37)*(('Model inputs'!G16-'Model inputs'!AB60)-12)/12))),0))</f>
        <v>0</v>
      </c>
      <c r="H7" s="9">
        <f>IF(IF(('Model inputs'!H16-'Model inputs'!AB60)&lt;1="",FALSE,('Model inputs'!H16-'Model inputs'!AB60)&lt;1),0,ROUND(IF(IF(('Model inputs'!H16-'Model inputs'!AB60)&lt;=3="",FALSE,('Model inputs'!H16-'Model inputs'!AB60)&lt;=3),IF('Model inputs'!AB49="","",'Model inputs'!AB49),IF(IF(('Model inputs'!H16-'Model inputs'!AB60)&lt;=6="",FALSE,('Model inputs'!H16-'Model inputs'!AB60)&lt;=6),'Model inputs'!AB49+('Model inputs'!AB55-'Model inputs'!AB49)*(('Model inputs'!H16-'Model inputs'!AB60)-3)/3,IF(IF(('Model inputs'!H16-'Model inputs'!AB60)&lt;=12="",FALSE,('Model inputs'!H16-'Model inputs'!AB60)&lt;=12),'Model inputs'!AB55+('Model inputs'!AB37-'Model inputs'!AB55)*(('Model inputs'!H16-'Model inputs'!AB60)-6)/6,'Model inputs'!AB37+('Model inputs'!AB43-'Model inputs'!AB37)*(('Model inputs'!H16-'Model inputs'!AB60)-12)/12))),0))</f>
        <v>2</v>
      </c>
      <c r="I7" s="9">
        <f>IF(IF(('Model inputs'!I16-'Model inputs'!AB60)&lt;1="",FALSE,('Model inputs'!I16-'Model inputs'!AB60)&lt;1),0,ROUND(IF(IF(('Model inputs'!I16-'Model inputs'!AB60)&lt;=3="",FALSE,('Model inputs'!I16-'Model inputs'!AB60)&lt;=3),IF('Model inputs'!AB49="","",'Model inputs'!AB49),IF(IF(('Model inputs'!I16-'Model inputs'!AB60)&lt;=6="",FALSE,('Model inputs'!I16-'Model inputs'!AB60)&lt;=6),'Model inputs'!AB49+('Model inputs'!AB55-'Model inputs'!AB49)*(('Model inputs'!I16-'Model inputs'!AB60)-3)/3,IF(IF(('Model inputs'!I16-'Model inputs'!AB60)&lt;=12="",FALSE,('Model inputs'!I16-'Model inputs'!AB60)&lt;=12),'Model inputs'!AB55+('Model inputs'!AB37-'Model inputs'!AB55)*(('Model inputs'!I16-'Model inputs'!AB60)-6)/6,'Model inputs'!AB37+('Model inputs'!AB43-'Model inputs'!AB37)*(('Model inputs'!I16-'Model inputs'!AB60)-12)/12))),0))</f>
        <v>3</v>
      </c>
      <c r="J7" s="9">
        <f>IF(IF(('Model inputs'!J16-'Model inputs'!AB60)&lt;1="",FALSE,('Model inputs'!J16-'Model inputs'!AB60)&lt;1),0,ROUND(IF(IF(('Model inputs'!J16-'Model inputs'!AB60)&lt;=3="",FALSE,('Model inputs'!J16-'Model inputs'!AB60)&lt;=3),IF('Model inputs'!AB49="","",'Model inputs'!AB49),IF(IF(('Model inputs'!J16-'Model inputs'!AB60)&lt;=6="",FALSE,('Model inputs'!J16-'Model inputs'!AB60)&lt;=6),'Model inputs'!AB49+('Model inputs'!AB55-'Model inputs'!AB49)*(('Model inputs'!J16-'Model inputs'!AB60)-3)/3,IF(IF(('Model inputs'!J16-'Model inputs'!AB60)&lt;=12="",FALSE,('Model inputs'!J16-'Model inputs'!AB60)&lt;=12),'Model inputs'!AB55+('Model inputs'!AB37-'Model inputs'!AB55)*(('Model inputs'!J16-'Model inputs'!AB60)-6)/6,'Model inputs'!AB37+('Model inputs'!AB43-'Model inputs'!AB37)*(('Model inputs'!J16-'Model inputs'!AB60)-12)/12))),0))</f>
        <v>5</v>
      </c>
      <c r="K7" s="9">
        <f>IF(IF(('Model inputs'!K16-'Model inputs'!AB60)&lt;1="",FALSE,('Model inputs'!K16-'Model inputs'!AB60)&lt;1),0,ROUND(IF(IF(('Model inputs'!K16-'Model inputs'!AB60)&lt;=3="",FALSE,('Model inputs'!K16-'Model inputs'!AB60)&lt;=3),IF('Model inputs'!AB49="","",'Model inputs'!AB49),IF(IF(('Model inputs'!K16-'Model inputs'!AB60)&lt;=6="",FALSE,('Model inputs'!K16-'Model inputs'!AB60)&lt;=6),'Model inputs'!AB49+('Model inputs'!AB55-'Model inputs'!AB49)*(('Model inputs'!K16-'Model inputs'!AB60)-3)/3,IF(IF(('Model inputs'!K16-'Model inputs'!AB60)&lt;=12="",FALSE,('Model inputs'!K16-'Model inputs'!AB60)&lt;=12),'Model inputs'!AB55+('Model inputs'!AB37-'Model inputs'!AB55)*(('Model inputs'!K16-'Model inputs'!AB60)-6)/6,'Model inputs'!AB37+('Model inputs'!AB43-'Model inputs'!AB37)*(('Model inputs'!K16-'Model inputs'!AB60)-12)/12))),0))</f>
        <v>7</v>
      </c>
      <c r="L7" s="9">
        <f>IF(IF(('Model inputs'!L16-'Model inputs'!AB60)&lt;1="",FALSE,('Model inputs'!L16-'Model inputs'!AB60)&lt;1),0,ROUND(IF(IF(('Model inputs'!L16-'Model inputs'!AB60)&lt;=3="",FALSE,('Model inputs'!L16-'Model inputs'!AB60)&lt;=3),IF('Model inputs'!AB49="","",'Model inputs'!AB49),IF(IF(('Model inputs'!L16-'Model inputs'!AB60)&lt;=6="",FALSE,('Model inputs'!L16-'Model inputs'!AB60)&lt;=6),'Model inputs'!AB49+('Model inputs'!AB55-'Model inputs'!AB49)*(('Model inputs'!L16-'Model inputs'!AB60)-3)/3,IF(IF(('Model inputs'!L16-'Model inputs'!AB60)&lt;=12="",FALSE,('Model inputs'!L16-'Model inputs'!AB60)&lt;=12),'Model inputs'!AB55+('Model inputs'!AB37-'Model inputs'!AB55)*(('Model inputs'!L16-'Model inputs'!AB60)-6)/6,'Model inputs'!AB37+('Model inputs'!AB43-'Model inputs'!AB37)*(('Model inputs'!L16-'Model inputs'!AB60)-12)/12))),0))</f>
        <v>8</v>
      </c>
      <c r="M7" s="9">
        <f>IF(IF(('Model inputs'!M16-'Model inputs'!AB60)&lt;1="",FALSE,('Model inputs'!M16-'Model inputs'!AB60)&lt;1),0,ROUND(IF(IF(('Model inputs'!M16-'Model inputs'!AB60)&lt;=3="",FALSE,('Model inputs'!M16-'Model inputs'!AB60)&lt;=3),IF('Model inputs'!AB49="","",'Model inputs'!AB49),IF(IF(('Model inputs'!M16-'Model inputs'!AB60)&lt;=6="",FALSE,('Model inputs'!M16-'Model inputs'!AB60)&lt;=6),'Model inputs'!AB49+('Model inputs'!AB55-'Model inputs'!AB49)*(('Model inputs'!M16-'Model inputs'!AB60)-3)/3,IF(IF(('Model inputs'!M16-'Model inputs'!AB60)&lt;=12="",FALSE,('Model inputs'!M16-'Model inputs'!AB60)&lt;=12),'Model inputs'!AB55+('Model inputs'!AB37-'Model inputs'!AB55)*(('Model inputs'!M16-'Model inputs'!AB60)-6)/6,'Model inputs'!AB37+('Model inputs'!AB43-'Model inputs'!AB37)*(('Model inputs'!M16-'Model inputs'!AB60)-12)/12))),0))</f>
        <v>10</v>
      </c>
      <c r="N7" s="9">
        <f>IF(IF(('Model inputs'!N16-'Model inputs'!AB60)&lt;1="",FALSE,('Model inputs'!N16-'Model inputs'!AB60)&lt;1),0,ROUND(IF(IF(('Model inputs'!N16-'Model inputs'!AB60)&lt;=3="",FALSE,('Model inputs'!N16-'Model inputs'!AB60)&lt;=3),IF('Model inputs'!AB49="","",'Model inputs'!AB49),IF(IF(('Model inputs'!N16-'Model inputs'!AB60)&lt;=6="",FALSE,('Model inputs'!N16-'Model inputs'!AB60)&lt;=6),'Model inputs'!AB49+('Model inputs'!AB55-'Model inputs'!AB49)*(('Model inputs'!N16-'Model inputs'!AB60)-3)/3,IF(IF(('Model inputs'!N16-'Model inputs'!AB60)&lt;=12="",FALSE,('Model inputs'!N16-'Model inputs'!AB60)&lt;=12),'Model inputs'!AB55+('Model inputs'!AB37-'Model inputs'!AB55)*(('Model inputs'!N16-'Model inputs'!AB60)-6)/6,'Model inputs'!AB37+('Model inputs'!AB43-'Model inputs'!AB37)*(('Model inputs'!N16-'Model inputs'!AB60)-12)/12))),0))</f>
        <v>12</v>
      </c>
      <c r="O7" s="9">
        <f>IF(IF(('Model inputs'!O16-'Model inputs'!AB60)&lt;1="",FALSE,('Model inputs'!O16-'Model inputs'!AB60)&lt;1),0,ROUND(IF(IF(('Model inputs'!O16-'Model inputs'!AB60)&lt;=3="",FALSE,('Model inputs'!O16-'Model inputs'!AB60)&lt;=3),IF('Model inputs'!AB49="","",'Model inputs'!AB49),IF(IF(('Model inputs'!O16-'Model inputs'!AB60)&lt;=6="",FALSE,('Model inputs'!O16-'Model inputs'!AB60)&lt;=6),'Model inputs'!AB49+('Model inputs'!AB55-'Model inputs'!AB49)*(('Model inputs'!O16-'Model inputs'!AB60)-3)/3,IF(IF(('Model inputs'!O16-'Model inputs'!AB60)&lt;=12="",FALSE,('Model inputs'!O16-'Model inputs'!AB60)&lt;=12),'Model inputs'!AB55+('Model inputs'!AB37-'Model inputs'!AB55)*(('Model inputs'!O16-'Model inputs'!AB60)-6)/6,'Model inputs'!AB37+('Model inputs'!AB43-'Model inputs'!AB37)*(('Model inputs'!O16-'Model inputs'!AB60)-12)/12))),0))</f>
        <v>13</v>
      </c>
      <c r="P7" s="9">
        <f>IF(IF(('Model inputs'!P16-'Model inputs'!AB60)&lt;1="",FALSE,('Model inputs'!P16-'Model inputs'!AB60)&lt;1),0,ROUND(IF(IF(('Model inputs'!P16-'Model inputs'!AB60)&lt;=3="",FALSE,('Model inputs'!P16-'Model inputs'!AB60)&lt;=3),IF('Model inputs'!AB49="","",'Model inputs'!AB49),IF(IF(('Model inputs'!P16-'Model inputs'!AB60)&lt;=6="",FALSE,('Model inputs'!P16-'Model inputs'!AB60)&lt;=6),'Model inputs'!AB49+('Model inputs'!AB55-'Model inputs'!AB49)*(('Model inputs'!P16-'Model inputs'!AB60)-3)/3,IF(IF(('Model inputs'!P16-'Model inputs'!AB60)&lt;=12="",FALSE,('Model inputs'!P16-'Model inputs'!AB60)&lt;=12),'Model inputs'!AB55+('Model inputs'!AB37-'Model inputs'!AB55)*(('Model inputs'!P16-'Model inputs'!AB60)-6)/6,'Model inputs'!AB37+('Model inputs'!AB43-'Model inputs'!AB37)*(('Model inputs'!P16-'Model inputs'!AB60)-12)/12))),0))</f>
        <v>15</v>
      </c>
      <c r="Q7" s="9">
        <f>IF(IF(('Model inputs'!Q16-'Model inputs'!AB60)&lt;1="",FALSE,('Model inputs'!Q16-'Model inputs'!AB60)&lt;1),0,ROUND(IF(IF(('Model inputs'!Q16-'Model inputs'!AB60)&lt;=3="",FALSE,('Model inputs'!Q16-'Model inputs'!AB60)&lt;=3),IF('Model inputs'!AB49="","",'Model inputs'!AB49),IF(IF(('Model inputs'!Q16-'Model inputs'!AB60)&lt;=6="",FALSE,('Model inputs'!Q16-'Model inputs'!AB60)&lt;=6),'Model inputs'!AB49+('Model inputs'!AB55-'Model inputs'!AB49)*(('Model inputs'!Q16-'Model inputs'!AB60)-3)/3,IF(IF(('Model inputs'!Q16-'Model inputs'!AB60)&lt;=12="",FALSE,('Model inputs'!Q16-'Model inputs'!AB60)&lt;=12),'Model inputs'!AB55+('Model inputs'!AB37-'Model inputs'!AB55)*(('Model inputs'!Q16-'Model inputs'!AB60)-6)/6,'Model inputs'!AB37+('Model inputs'!AB43-'Model inputs'!AB37)*(('Model inputs'!Q16-'Model inputs'!AB60)-12)/12))),0))</f>
        <v>17</v>
      </c>
      <c r="R7" s="9">
        <f>IF(IF(('Model inputs'!R16-'Model inputs'!AB60)&lt;1="",FALSE,('Model inputs'!R16-'Model inputs'!AB60)&lt;1),0,ROUND(IF(IF(('Model inputs'!R16-'Model inputs'!AB60)&lt;=3="",FALSE,('Model inputs'!R16-'Model inputs'!AB60)&lt;=3),IF('Model inputs'!AB49="","",'Model inputs'!AB49),IF(IF(('Model inputs'!R16-'Model inputs'!AB60)&lt;=6="",FALSE,('Model inputs'!R16-'Model inputs'!AB60)&lt;=6),'Model inputs'!AB49+('Model inputs'!AB55-'Model inputs'!AB49)*(('Model inputs'!R16-'Model inputs'!AB60)-3)/3,IF(IF(('Model inputs'!R16-'Model inputs'!AB60)&lt;=12="",FALSE,('Model inputs'!R16-'Model inputs'!AB60)&lt;=12),'Model inputs'!AB55+('Model inputs'!AB37-'Model inputs'!AB55)*(('Model inputs'!R16-'Model inputs'!AB60)-6)/6,'Model inputs'!AB37+('Model inputs'!AB43-'Model inputs'!AB37)*(('Model inputs'!R16-'Model inputs'!AB60)-12)/12))),0))</f>
        <v>19</v>
      </c>
      <c r="S7" s="9">
        <f>IF(IF(('Model inputs'!S16-'Model inputs'!AB60)&lt;1="",FALSE,('Model inputs'!S16-'Model inputs'!AB60)&lt;1),0,ROUND(IF(IF(('Model inputs'!S16-'Model inputs'!AB60)&lt;=3="",FALSE,('Model inputs'!S16-'Model inputs'!AB60)&lt;=3),IF('Model inputs'!AB49="","",'Model inputs'!AB49),IF(IF(('Model inputs'!S16-'Model inputs'!AB60)&lt;=6="",FALSE,('Model inputs'!S16-'Model inputs'!AB60)&lt;=6),'Model inputs'!AB49+('Model inputs'!AB55-'Model inputs'!AB49)*(('Model inputs'!S16-'Model inputs'!AB60)-3)/3,IF(IF(('Model inputs'!S16-'Model inputs'!AB60)&lt;=12="",FALSE,('Model inputs'!S16-'Model inputs'!AB60)&lt;=12),'Model inputs'!AB55+('Model inputs'!AB37-'Model inputs'!AB55)*(('Model inputs'!S16-'Model inputs'!AB60)-6)/6,'Model inputs'!AB37+('Model inputs'!AB43-'Model inputs'!AB37)*(('Model inputs'!S16-'Model inputs'!AB60)-12)/12))),0))</f>
        <v>21</v>
      </c>
      <c r="T7" s="9">
        <f>IF(IF(('Model inputs'!T16-'Model inputs'!AB60)&lt;1="",FALSE,('Model inputs'!T16-'Model inputs'!AB60)&lt;1),0,ROUND(IF(IF(('Model inputs'!T16-'Model inputs'!AB60)&lt;=3="",FALSE,('Model inputs'!T16-'Model inputs'!AB60)&lt;=3),IF('Model inputs'!AB49="","",'Model inputs'!AB49),IF(IF(('Model inputs'!T16-'Model inputs'!AB60)&lt;=6="",FALSE,('Model inputs'!T16-'Model inputs'!AB60)&lt;=6),'Model inputs'!AB49+('Model inputs'!AB55-'Model inputs'!AB49)*(('Model inputs'!T16-'Model inputs'!AB60)-3)/3,IF(IF(('Model inputs'!T16-'Model inputs'!AB60)&lt;=12="",FALSE,('Model inputs'!T16-'Model inputs'!AB60)&lt;=12),'Model inputs'!AB55+('Model inputs'!AB37-'Model inputs'!AB55)*(('Model inputs'!T16-'Model inputs'!AB60)-6)/6,'Model inputs'!AB37+('Model inputs'!AB43-'Model inputs'!AB37)*(('Model inputs'!T16-'Model inputs'!AB60)-12)/12))),0))</f>
        <v>23</v>
      </c>
      <c r="U7" s="9">
        <f>IF(IF(('Model inputs'!U16-'Model inputs'!AB60)&lt;1="",FALSE,('Model inputs'!U16-'Model inputs'!AB60)&lt;1),0,ROUND(IF(IF(('Model inputs'!U16-'Model inputs'!AB60)&lt;=3="",FALSE,('Model inputs'!U16-'Model inputs'!AB60)&lt;=3),IF('Model inputs'!AB49="","",'Model inputs'!AB49),IF(IF(('Model inputs'!U16-'Model inputs'!AB60)&lt;=6="",FALSE,('Model inputs'!U16-'Model inputs'!AB60)&lt;=6),'Model inputs'!AB49+('Model inputs'!AB55-'Model inputs'!AB49)*(('Model inputs'!U16-'Model inputs'!AB60)-3)/3,IF(IF(('Model inputs'!U16-'Model inputs'!AB60)&lt;=12="",FALSE,('Model inputs'!U16-'Model inputs'!AB60)&lt;=12),'Model inputs'!AB55+('Model inputs'!AB37-'Model inputs'!AB55)*(('Model inputs'!U16-'Model inputs'!AB60)-6)/6,'Model inputs'!AB37+('Model inputs'!AB43-'Model inputs'!AB37)*(('Model inputs'!U16-'Model inputs'!AB60)-12)/12))),0))</f>
        <v>25</v>
      </c>
      <c r="V7" s="9">
        <f>IF(IF(('Model inputs'!V16-'Model inputs'!AB60)&lt;1="",FALSE,('Model inputs'!V16-'Model inputs'!AB60)&lt;1),0,ROUND(IF(IF(('Model inputs'!V16-'Model inputs'!AB60)&lt;=3="",FALSE,('Model inputs'!V16-'Model inputs'!AB60)&lt;=3),IF('Model inputs'!AB49="","",'Model inputs'!AB49),IF(IF(('Model inputs'!V16-'Model inputs'!AB60)&lt;=6="",FALSE,('Model inputs'!V16-'Model inputs'!AB60)&lt;=6),'Model inputs'!AB49+('Model inputs'!AB55-'Model inputs'!AB49)*(('Model inputs'!V16-'Model inputs'!AB60)-3)/3,IF(IF(('Model inputs'!V16-'Model inputs'!AB60)&lt;=12="",FALSE,('Model inputs'!V16-'Model inputs'!AB60)&lt;=12),'Model inputs'!AB55+('Model inputs'!AB37-'Model inputs'!AB55)*(('Model inputs'!V16-'Model inputs'!AB60)-6)/6,'Model inputs'!AB37+('Model inputs'!AB43-'Model inputs'!AB37)*(('Model inputs'!V16-'Model inputs'!AB60)-12)/12))),0))</f>
        <v>28</v>
      </c>
      <c r="W7" s="9">
        <f>IF(IF(('Model inputs'!W16-'Model inputs'!AB60)&lt;1="",FALSE,('Model inputs'!W16-'Model inputs'!AB60)&lt;1),0,ROUND(IF(IF(('Model inputs'!W16-'Model inputs'!AB60)&lt;=3="",FALSE,('Model inputs'!W16-'Model inputs'!AB60)&lt;=3),IF('Model inputs'!AB49="","",'Model inputs'!AB49),IF(IF(('Model inputs'!W16-'Model inputs'!AB60)&lt;=6="",FALSE,('Model inputs'!W16-'Model inputs'!AB60)&lt;=6),'Model inputs'!AB49+('Model inputs'!AB55-'Model inputs'!AB49)*(('Model inputs'!W16-'Model inputs'!AB60)-3)/3,IF(IF(('Model inputs'!W16-'Model inputs'!AB60)&lt;=12="",FALSE,('Model inputs'!W16-'Model inputs'!AB60)&lt;=12),'Model inputs'!AB55+('Model inputs'!AB37-'Model inputs'!AB55)*(('Model inputs'!W16-'Model inputs'!AB60)-6)/6,'Model inputs'!AB37+('Model inputs'!AB43-'Model inputs'!AB37)*(('Model inputs'!W16-'Model inputs'!AB60)-12)/12))),0))</f>
        <v>30</v>
      </c>
      <c r="X7" s="9">
        <f>IF(IF(('Model inputs'!X16-'Model inputs'!AB60)&lt;1="",FALSE,('Model inputs'!X16-'Model inputs'!AB60)&lt;1),0,ROUND(IF(IF(('Model inputs'!X16-'Model inputs'!AB60)&lt;=3="",FALSE,('Model inputs'!X16-'Model inputs'!AB60)&lt;=3),IF('Model inputs'!AB49="","",'Model inputs'!AB49),IF(IF(('Model inputs'!X16-'Model inputs'!AB60)&lt;=6="",FALSE,('Model inputs'!X16-'Model inputs'!AB60)&lt;=6),'Model inputs'!AB49+('Model inputs'!AB55-'Model inputs'!AB49)*(('Model inputs'!X16-'Model inputs'!AB60)-3)/3,IF(IF(('Model inputs'!X16-'Model inputs'!AB60)&lt;=12="",FALSE,('Model inputs'!X16-'Model inputs'!AB60)&lt;=12),'Model inputs'!AB55+('Model inputs'!AB37-'Model inputs'!AB55)*(('Model inputs'!X16-'Model inputs'!AB60)-6)/6,'Model inputs'!AB37+('Model inputs'!AB43-'Model inputs'!AB37)*(('Model inputs'!X16-'Model inputs'!AB60)-12)/12))),0))</f>
        <v>32</v>
      </c>
      <c r="Y7" s="9">
        <f>IF(IF(('Model inputs'!Y16-'Model inputs'!AB60)&lt;1="",FALSE,('Model inputs'!Y16-'Model inputs'!AB60)&lt;1),0,ROUND(IF(IF(('Model inputs'!Y16-'Model inputs'!AB60)&lt;=3="",FALSE,('Model inputs'!Y16-'Model inputs'!AB60)&lt;=3),IF('Model inputs'!AB49="","",'Model inputs'!AB49),IF(IF(('Model inputs'!Y16-'Model inputs'!AB60)&lt;=6="",FALSE,('Model inputs'!Y16-'Model inputs'!AB60)&lt;=6),'Model inputs'!AB49+('Model inputs'!AB55-'Model inputs'!AB49)*(('Model inputs'!Y16-'Model inputs'!AB60)-3)/3,IF(IF(('Model inputs'!Y16-'Model inputs'!AB60)&lt;=12="",FALSE,('Model inputs'!Y16-'Model inputs'!AB60)&lt;=12),'Model inputs'!AB55+('Model inputs'!AB37-'Model inputs'!AB55)*(('Model inputs'!Y16-'Model inputs'!AB60)-6)/6,'Model inputs'!AB37+('Model inputs'!AB43-'Model inputs'!AB37)*(('Model inputs'!Y16-'Model inputs'!AB60)-12)/12))),0))</f>
        <v>34</v>
      </c>
    </row>
    <row r="8" outlineLevel="1">
      <c r="A8" t="inlineStr" s="16">
        <is>
          <t xml:space="preserve">Customers &gt; Team</t>
        </is>
      </c>
      <c r="B8" s="9">
        <f>IF(IF(('Model inputs'!B16-'Model inputs'!AB60)&lt;1="",FALSE,('Model inputs'!B16-'Model inputs'!AB60)&lt;1),0,ROUND(IF(IF(('Model inputs'!B16-'Model inputs'!AB60)&lt;=3="",FALSE,('Model inputs'!B16-'Model inputs'!AB60)&lt;=3),IF('Model inputs'!AB50="","",'Model inputs'!AB50),IF(IF(('Model inputs'!B16-'Model inputs'!AB60)&lt;=6="",FALSE,('Model inputs'!B16-'Model inputs'!AB60)&lt;=6),'Model inputs'!AB50+('Model inputs'!AB56-'Model inputs'!AB50)*(('Model inputs'!B16-'Model inputs'!AB60)-3)/3,IF(IF(('Model inputs'!B16-'Model inputs'!AB60)&lt;=12="",FALSE,('Model inputs'!B16-'Model inputs'!AB60)&lt;=12),'Model inputs'!AB56+('Model inputs'!AB38-'Model inputs'!AB56)*(('Model inputs'!B16-'Model inputs'!AB60)-6)/6,'Model inputs'!AB38+('Model inputs'!AB44-'Model inputs'!AB38)*(('Model inputs'!B16-'Model inputs'!AB60)-12)/12))),0))</f>
        <v>0</v>
      </c>
      <c r="C8" s="9">
        <f>IF(IF(('Model inputs'!C16-'Model inputs'!AB60)&lt;1="",FALSE,('Model inputs'!C16-'Model inputs'!AB60)&lt;1),0,ROUND(IF(IF(('Model inputs'!C16-'Model inputs'!AB60)&lt;=3="",FALSE,('Model inputs'!C16-'Model inputs'!AB60)&lt;=3),IF('Model inputs'!AB50="","",'Model inputs'!AB50),IF(IF(('Model inputs'!C16-'Model inputs'!AB60)&lt;=6="",FALSE,('Model inputs'!C16-'Model inputs'!AB60)&lt;=6),'Model inputs'!AB50+('Model inputs'!AB56-'Model inputs'!AB50)*(('Model inputs'!C16-'Model inputs'!AB60)-3)/3,IF(IF(('Model inputs'!C16-'Model inputs'!AB60)&lt;=12="",FALSE,('Model inputs'!C16-'Model inputs'!AB60)&lt;=12),'Model inputs'!AB56+('Model inputs'!AB38-'Model inputs'!AB56)*(('Model inputs'!C16-'Model inputs'!AB60)-6)/6,'Model inputs'!AB38+('Model inputs'!AB44-'Model inputs'!AB38)*(('Model inputs'!C16-'Model inputs'!AB60)-12)/12))),0))</f>
        <v>0</v>
      </c>
      <c r="D8" s="9">
        <f>IF(IF(('Model inputs'!D16-'Model inputs'!AB60)&lt;1="",FALSE,('Model inputs'!D16-'Model inputs'!AB60)&lt;1),0,ROUND(IF(IF(('Model inputs'!D16-'Model inputs'!AB60)&lt;=3="",FALSE,('Model inputs'!D16-'Model inputs'!AB60)&lt;=3),IF('Model inputs'!AB50="","",'Model inputs'!AB50),IF(IF(('Model inputs'!D16-'Model inputs'!AB60)&lt;=6="",FALSE,('Model inputs'!D16-'Model inputs'!AB60)&lt;=6),'Model inputs'!AB50+('Model inputs'!AB56-'Model inputs'!AB50)*(('Model inputs'!D16-'Model inputs'!AB60)-3)/3,IF(IF(('Model inputs'!D16-'Model inputs'!AB60)&lt;=12="",FALSE,('Model inputs'!D16-'Model inputs'!AB60)&lt;=12),'Model inputs'!AB56+('Model inputs'!AB38-'Model inputs'!AB56)*(('Model inputs'!D16-'Model inputs'!AB60)-6)/6,'Model inputs'!AB38+('Model inputs'!AB44-'Model inputs'!AB38)*(('Model inputs'!D16-'Model inputs'!AB60)-12)/12))),0))</f>
        <v>0</v>
      </c>
      <c r="E8" s="9">
        <f>IF(IF(('Model inputs'!E16-'Model inputs'!AB60)&lt;1="",FALSE,('Model inputs'!E16-'Model inputs'!AB60)&lt;1),0,ROUND(IF(IF(('Model inputs'!E16-'Model inputs'!AB60)&lt;=3="",FALSE,('Model inputs'!E16-'Model inputs'!AB60)&lt;=3),IF('Model inputs'!AB50="","",'Model inputs'!AB50),IF(IF(('Model inputs'!E16-'Model inputs'!AB60)&lt;=6="",FALSE,('Model inputs'!E16-'Model inputs'!AB60)&lt;=6),'Model inputs'!AB50+('Model inputs'!AB56-'Model inputs'!AB50)*(('Model inputs'!E16-'Model inputs'!AB60)-3)/3,IF(IF(('Model inputs'!E16-'Model inputs'!AB60)&lt;=12="",FALSE,('Model inputs'!E16-'Model inputs'!AB60)&lt;=12),'Model inputs'!AB56+('Model inputs'!AB38-'Model inputs'!AB56)*(('Model inputs'!E16-'Model inputs'!AB60)-6)/6,'Model inputs'!AB38+('Model inputs'!AB44-'Model inputs'!AB38)*(('Model inputs'!E16-'Model inputs'!AB60)-12)/12))),0))</f>
        <v>0</v>
      </c>
      <c r="F8" s="9">
        <f>IF(IF(('Model inputs'!F16-'Model inputs'!AB60)&lt;1="",FALSE,('Model inputs'!F16-'Model inputs'!AB60)&lt;1),0,ROUND(IF(IF(('Model inputs'!F16-'Model inputs'!AB60)&lt;=3="",FALSE,('Model inputs'!F16-'Model inputs'!AB60)&lt;=3),IF('Model inputs'!AB50="","",'Model inputs'!AB50),IF(IF(('Model inputs'!F16-'Model inputs'!AB60)&lt;=6="",FALSE,('Model inputs'!F16-'Model inputs'!AB60)&lt;=6),'Model inputs'!AB50+('Model inputs'!AB56-'Model inputs'!AB50)*(('Model inputs'!F16-'Model inputs'!AB60)-3)/3,IF(IF(('Model inputs'!F16-'Model inputs'!AB60)&lt;=12="",FALSE,('Model inputs'!F16-'Model inputs'!AB60)&lt;=12),'Model inputs'!AB56+('Model inputs'!AB38-'Model inputs'!AB56)*(('Model inputs'!F16-'Model inputs'!AB60)-6)/6,'Model inputs'!AB38+('Model inputs'!AB44-'Model inputs'!AB38)*(('Model inputs'!F16-'Model inputs'!AB60)-12)/12))),0))</f>
        <v>0</v>
      </c>
      <c r="G8" s="9">
        <f>IF(IF(('Model inputs'!G16-'Model inputs'!AB60)&lt;1="",FALSE,('Model inputs'!G16-'Model inputs'!AB60)&lt;1),0,ROUND(IF(IF(('Model inputs'!G16-'Model inputs'!AB60)&lt;=3="",FALSE,('Model inputs'!G16-'Model inputs'!AB60)&lt;=3),IF('Model inputs'!AB50="","",'Model inputs'!AB50),IF(IF(('Model inputs'!G16-'Model inputs'!AB60)&lt;=6="",FALSE,('Model inputs'!G16-'Model inputs'!AB60)&lt;=6),'Model inputs'!AB50+('Model inputs'!AB56-'Model inputs'!AB50)*(('Model inputs'!G16-'Model inputs'!AB60)-3)/3,IF(IF(('Model inputs'!G16-'Model inputs'!AB60)&lt;=12="",FALSE,('Model inputs'!G16-'Model inputs'!AB60)&lt;=12),'Model inputs'!AB56+('Model inputs'!AB38-'Model inputs'!AB56)*(('Model inputs'!G16-'Model inputs'!AB60)-6)/6,'Model inputs'!AB38+('Model inputs'!AB44-'Model inputs'!AB38)*(('Model inputs'!G16-'Model inputs'!AB60)-12)/12))),0))</f>
        <v>0</v>
      </c>
      <c r="H8" s="9">
        <f>IF(IF(('Model inputs'!H16-'Model inputs'!AB60)&lt;1="",FALSE,('Model inputs'!H16-'Model inputs'!AB60)&lt;1),0,ROUND(IF(IF(('Model inputs'!H16-'Model inputs'!AB60)&lt;=3="",FALSE,('Model inputs'!H16-'Model inputs'!AB60)&lt;=3),IF('Model inputs'!AB50="","",'Model inputs'!AB50),IF(IF(('Model inputs'!H16-'Model inputs'!AB60)&lt;=6="",FALSE,('Model inputs'!H16-'Model inputs'!AB60)&lt;=6),'Model inputs'!AB50+('Model inputs'!AB56-'Model inputs'!AB50)*(('Model inputs'!H16-'Model inputs'!AB60)-3)/3,IF(IF(('Model inputs'!H16-'Model inputs'!AB60)&lt;=12="",FALSE,('Model inputs'!H16-'Model inputs'!AB60)&lt;=12),'Model inputs'!AB56+('Model inputs'!AB38-'Model inputs'!AB56)*(('Model inputs'!H16-'Model inputs'!AB60)-6)/6,'Model inputs'!AB38+('Model inputs'!AB44-'Model inputs'!AB38)*(('Model inputs'!H16-'Model inputs'!AB60)-12)/12))),0))</f>
        <v>0</v>
      </c>
      <c r="I8" s="9">
        <f>IF(IF(('Model inputs'!I16-'Model inputs'!AB60)&lt;1="",FALSE,('Model inputs'!I16-'Model inputs'!AB60)&lt;1),0,ROUND(IF(IF(('Model inputs'!I16-'Model inputs'!AB60)&lt;=3="",FALSE,('Model inputs'!I16-'Model inputs'!AB60)&lt;=3),IF('Model inputs'!AB50="","",'Model inputs'!AB50),IF(IF(('Model inputs'!I16-'Model inputs'!AB60)&lt;=6="",FALSE,('Model inputs'!I16-'Model inputs'!AB60)&lt;=6),'Model inputs'!AB50+('Model inputs'!AB56-'Model inputs'!AB50)*(('Model inputs'!I16-'Model inputs'!AB60)-3)/3,IF(IF(('Model inputs'!I16-'Model inputs'!AB60)&lt;=12="",FALSE,('Model inputs'!I16-'Model inputs'!AB60)&lt;=12),'Model inputs'!AB56+('Model inputs'!AB38-'Model inputs'!AB56)*(('Model inputs'!I16-'Model inputs'!AB60)-6)/6,'Model inputs'!AB38+('Model inputs'!AB44-'Model inputs'!AB38)*(('Model inputs'!I16-'Model inputs'!AB60)-12)/12))),0))</f>
        <v>1</v>
      </c>
      <c r="J8" s="9">
        <f>IF(IF(('Model inputs'!J16-'Model inputs'!AB60)&lt;1="",FALSE,('Model inputs'!J16-'Model inputs'!AB60)&lt;1),0,ROUND(IF(IF(('Model inputs'!J16-'Model inputs'!AB60)&lt;=3="",FALSE,('Model inputs'!J16-'Model inputs'!AB60)&lt;=3),IF('Model inputs'!AB50="","",'Model inputs'!AB50),IF(IF(('Model inputs'!J16-'Model inputs'!AB60)&lt;=6="",FALSE,('Model inputs'!J16-'Model inputs'!AB60)&lt;=6),'Model inputs'!AB50+('Model inputs'!AB56-'Model inputs'!AB50)*(('Model inputs'!J16-'Model inputs'!AB60)-3)/3,IF(IF(('Model inputs'!J16-'Model inputs'!AB60)&lt;=12="",FALSE,('Model inputs'!J16-'Model inputs'!AB60)&lt;=12),'Model inputs'!AB56+('Model inputs'!AB38-'Model inputs'!AB56)*(('Model inputs'!J16-'Model inputs'!AB60)-6)/6,'Model inputs'!AB38+('Model inputs'!AB44-'Model inputs'!AB38)*(('Model inputs'!J16-'Model inputs'!AB60)-12)/12))),0))</f>
        <v>1</v>
      </c>
      <c r="K8" s="9">
        <f>IF(IF(('Model inputs'!K16-'Model inputs'!AB60)&lt;1="",FALSE,('Model inputs'!K16-'Model inputs'!AB60)&lt;1),0,ROUND(IF(IF(('Model inputs'!K16-'Model inputs'!AB60)&lt;=3="",FALSE,('Model inputs'!K16-'Model inputs'!AB60)&lt;=3),IF('Model inputs'!AB50="","",'Model inputs'!AB50),IF(IF(('Model inputs'!K16-'Model inputs'!AB60)&lt;=6="",FALSE,('Model inputs'!K16-'Model inputs'!AB60)&lt;=6),'Model inputs'!AB50+('Model inputs'!AB56-'Model inputs'!AB50)*(('Model inputs'!K16-'Model inputs'!AB60)-3)/3,IF(IF(('Model inputs'!K16-'Model inputs'!AB60)&lt;=12="",FALSE,('Model inputs'!K16-'Model inputs'!AB60)&lt;=12),'Model inputs'!AB56+('Model inputs'!AB38-'Model inputs'!AB56)*(('Model inputs'!K16-'Model inputs'!AB60)-6)/6,'Model inputs'!AB38+('Model inputs'!AB44-'Model inputs'!AB38)*(('Model inputs'!K16-'Model inputs'!AB60)-12)/12))),0))</f>
        <v>1</v>
      </c>
      <c r="L8" s="9">
        <f>IF(IF(('Model inputs'!L16-'Model inputs'!AB60)&lt;1="",FALSE,('Model inputs'!L16-'Model inputs'!AB60)&lt;1),0,ROUND(IF(IF(('Model inputs'!L16-'Model inputs'!AB60)&lt;=3="",FALSE,('Model inputs'!L16-'Model inputs'!AB60)&lt;=3),IF('Model inputs'!AB50="","",'Model inputs'!AB50),IF(IF(('Model inputs'!L16-'Model inputs'!AB60)&lt;=6="",FALSE,('Model inputs'!L16-'Model inputs'!AB60)&lt;=6),'Model inputs'!AB50+('Model inputs'!AB56-'Model inputs'!AB50)*(('Model inputs'!L16-'Model inputs'!AB60)-3)/3,IF(IF(('Model inputs'!L16-'Model inputs'!AB60)&lt;=12="",FALSE,('Model inputs'!L16-'Model inputs'!AB60)&lt;=12),'Model inputs'!AB56+('Model inputs'!AB38-'Model inputs'!AB56)*(('Model inputs'!L16-'Model inputs'!AB60)-6)/6,'Model inputs'!AB38+('Model inputs'!AB44-'Model inputs'!AB38)*(('Model inputs'!L16-'Model inputs'!AB60)-12)/12))),0))</f>
        <v>2</v>
      </c>
      <c r="M8" s="9">
        <f>IF(IF(('Model inputs'!M16-'Model inputs'!AB60)&lt;1="",FALSE,('Model inputs'!M16-'Model inputs'!AB60)&lt;1),0,ROUND(IF(IF(('Model inputs'!M16-'Model inputs'!AB60)&lt;=3="",FALSE,('Model inputs'!M16-'Model inputs'!AB60)&lt;=3),IF('Model inputs'!AB50="","",'Model inputs'!AB50),IF(IF(('Model inputs'!M16-'Model inputs'!AB60)&lt;=6="",FALSE,('Model inputs'!M16-'Model inputs'!AB60)&lt;=6),'Model inputs'!AB50+('Model inputs'!AB56-'Model inputs'!AB50)*(('Model inputs'!M16-'Model inputs'!AB60)-3)/3,IF(IF(('Model inputs'!M16-'Model inputs'!AB60)&lt;=12="",FALSE,('Model inputs'!M16-'Model inputs'!AB60)&lt;=12),'Model inputs'!AB56+('Model inputs'!AB38-'Model inputs'!AB56)*(('Model inputs'!M16-'Model inputs'!AB60)-6)/6,'Model inputs'!AB38+('Model inputs'!AB44-'Model inputs'!AB38)*(('Model inputs'!M16-'Model inputs'!AB60)-12)/12))),0))</f>
        <v>2</v>
      </c>
      <c r="N8" s="9">
        <f>IF(IF(('Model inputs'!N16-'Model inputs'!AB60)&lt;1="",FALSE,('Model inputs'!N16-'Model inputs'!AB60)&lt;1),0,ROUND(IF(IF(('Model inputs'!N16-'Model inputs'!AB60)&lt;=3="",FALSE,('Model inputs'!N16-'Model inputs'!AB60)&lt;=3),IF('Model inputs'!AB50="","",'Model inputs'!AB50),IF(IF(('Model inputs'!N16-'Model inputs'!AB60)&lt;=6="",FALSE,('Model inputs'!N16-'Model inputs'!AB60)&lt;=6),'Model inputs'!AB50+('Model inputs'!AB56-'Model inputs'!AB50)*(('Model inputs'!N16-'Model inputs'!AB60)-3)/3,IF(IF(('Model inputs'!N16-'Model inputs'!AB60)&lt;=12="",FALSE,('Model inputs'!N16-'Model inputs'!AB60)&lt;=12),'Model inputs'!AB56+('Model inputs'!AB38-'Model inputs'!AB56)*(('Model inputs'!N16-'Model inputs'!AB60)-6)/6,'Model inputs'!AB38+('Model inputs'!AB44-'Model inputs'!AB38)*(('Model inputs'!N16-'Model inputs'!AB60)-12)/12))),0))</f>
        <v>2</v>
      </c>
      <c r="O8" s="9">
        <f>IF(IF(('Model inputs'!O16-'Model inputs'!AB60)&lt;1="",FALSE,('Model inputs'!O16-'Model inputs'!AB60)&lt;1),0,ROUND(IF(IF(('Model inputs'!O16-'Model inputs'!AB60)&lt;=3="",FALSE,('Model inputs'!O16-'Model inputs'!AB60)&lt;=3),IF('Model inputs'!AB50="","",'Model inputs'!AB50),IF(IF(('Model inputs'!O16-'Model inputs'!AB60)&lt;=6="",FALSE,('Model inputs'!O16-'Model inputs'!AB60)&lt;=6),'Model inputs'!AB50+('Model inputs'!AB56-'Model inputs'!AB50)*(('Model inputs'!O16-'Model inputs'!AB60)-3)/3,IF(IF(('Model inputs'!O16-'Model inputs'!AB60)&lt;=12="",FALSE,('Model inputs'!O16-'Model inputs'!AB60)&lt;=12),'Model inputs'!AB56+('Model inputs'!AB38-'Model inputs'!AB56)*(('Model inputs'!O16-'Model inputs'!AB60)-6)/6,'Model inputs'!AB38+('Model inputs'!AB44-'Model inputs'!AB38)*(('Model inputs'!O16-'Model inputs'!AB60)-12)/12))),0))</f>
        <v>3</v>
      </c>
      <c r="P8" s="9">
        <f>IF(IF(('Model inputs'!P16-'Model inputs'!AB60)&lt;1="",FALSE,('Model inputs'!P16-'Model inputs'!AB60)&lt;1),0,ROUND(IF(IF(('Model inputs'!P16-'Model inputs'!AB60)&lt;=3="",FALSE,('Model inputs'!P16-'Model inputs'!AB60)&lt;=3),IF('Model inputs'!AB50="","",'Model inputs'!AB50),IF(IF(('Model inputs'!P16-'Model inputs'!AB60)&lt;=6="",FALSE,('Model inputs'!P16-'Model inputs'!AB60)&lt;=6),'Model inputs'!AB50+('Model inputs'!AB56-'Model inputs'!AB50)*(('Model inputs'!P16-'Model inputs'!AB60)-3)/3,IF(IF(('Model inputs'!P16-'Model inputs'!AB60)&lt;=12="",FALSE,('Model inputs'!P16-'Model inputs'!AB60)&lt;=12),'Model inputs'!AB56+('Model inputs'!AB38-'Model inputs'!AB56)*(('Model inputs'!P16-'Model inputs'!AB60)-6)/6,'Model inputs'!AB38+('Model inputs'!AB44-'Model inputs'!AB38)*(('Model inputs'!P16-'Model inputs'!AB60)-12)/12))),0))</f>
        <v>3</v>
      </c>
      <c r="Q8" s="9">
        <f>IF(IF(('Model inputs'!Q16-'Model inputs'!AB60)&lt;1="",FALSE,('Model inputs'!Q16-'Model inputs'!AB60)&lt;1),0,ROUND(IF(IF(('Model inputs'!Q16-'Model inputs'!AB60)&lt;=3="",FALSE,('Model inputs'!Q16-'Model inputs'!AB60)&lt;=3),IF('Model inputs'!AB50="","",'Model inputs'!AB50),IF(IF(('Model inputs'!Q16-'Model inputs'!AB60)&lt;=6="",FALSE,('Model inputs'!Q16-'Model inputs'!AB60)&lt;=6),'Model inputs'!AB50+('Model inputs'!AB56-'Model inputs'!AB50)*(('Model inputs'!Q16-'Model inputs'!AB60)-3)/3,IF(IF(('Model inputs'!Q16-'Model inputs'!AB60)&lt;=12="",FALSE,('Model inputs'!Q16-'Model inputs'!AB60)&lt;=12),'Model inputs'!AB56+('Model inputs'!AB38-'Model inputs'!AB56)*(('Model inputs'!Q16-'Model inputs'!AB60)-6)/6,'Model inputs'!AB38+('Model inputs'!AB44-'Model inputs'!AB38)*(('Model inputs'!Q16-'Model inputs'!AB60)-12)/12))),0))</f>
        <v>4</v>
      </c>
      <c r="R8" s="9">
        <f>IF(IF(('Model inputs'!R16-'Model inputs'!AB60)&lt;1="",FALSE,('Model inputs'!R16-'Model inputs'!AB60)&lt;1),0,ROUND(IF(IF(('Model inputs'!R16-'Model inputs'!AB60)&lt;=3="",FALSE,('Model inputs'!R16-'Model inputs'!AB60)&lt;=3),IF('Model inputs'!AB50="","",'Model inputs'!AB50),IF(IF(('Model inputs'!R16-'Model inputs'!AB60)&lt;=6="",FALSE,('Model inputs'!R16-'Model inputs'!AB60)&lt;=6),'Model inputs'!AB50+('Model inputs'!AB56-'Model inputs'!AB50)*(('Model inputs'!R16-'Model inputs'!AB60)-3)/3,IF(IF(('Model inputs'!R16-'Model inputs'!AB60)&lt;=12="",FALSE,('Model inputs'!R16-'Model inputs'!AB60)&lt;=12),'Model inputs'!AB56+('Model inputs'!AB38-'Model inputs'!AB56)*(('Model inputs'!R16-'Model inputs'!AB60)-6)/6,'Model inputs'!AB38+('Model inputs'!AB44-'Model inputs'!AB38)*(('Model inputs'!R16-'Model inputs'!AB60)-12)/12))),0))</f>
        <v>4</v>
      </c>
      <c r="S8" s="9">
        <f>IF(IF(('Model inputs'!S16-'Model inputs'!AB60)&lt;1="",FALSE,('Model inputs'!S16-'Model inputs'!AB60)&lt;1),0,ROUND(IF(IF(('Model inputs'!S16-'Model inputs'!AB60)&lt;=3="",FALSE,('Model inputs'!S16-'Model inputs'!AB60)&lt;=3),IF('Model inputs'!AB50="","",'Model inputs'!AB50),IF(IF(('Model inputs'!S16-'Model inputs'!AB60)&lt;=6="",FALSE,('Model inputs'!S16-'Model inputs'!AB60)&lt;=6),'Model inputs'!AB50+('Model inputs'!AB56-'Model inputs'!AB50)*(('Model inputs'!S16-'Model inputs'!AB60)-3)/3,IF(IF(('Model inputs'!S16-'Model inputs'!AB60)&lt;=12="",FALSE,('Model inputs'!S16-'Model inputs'!AB60)&lt;=12),'Model inputs'!AB56+('Model inputs'!AB38-'Model inputs'!AB56)*(('Model inputs'!S16-'Model inputs'!AB60)-6)/6,'Model inputs'!AB38+('Model inputs'!AB44-'Model inputs'!AB38)*(('Model inputs'!S16-'Model inputs'!AB60)-12)/12))),0))</f>
        <v>5</v>
      </c>
      <c r="T8" s="9">
        <f>IF(IF(('Model inputs'!T16-'Model inputs'!AB60)&lt;1="",FALSE,('Model inputs'!T16-'Model inputs'!AB60)&lt;1),0,ROUND(IF(IF(('Model inputs'!T16-'Model inputs'!AB60)&lt;=3="",FALSE,('Model inputs'!T16-'Model inputs'!AB60)&lt;=3),IF('Model inputs'!AB50="","",'Model inputs'!AB50),IF(IF(('Model inputs'!T16-'Model inputs'!AB60)&lt;=6="",FALSE,('Model inputs'!T16-'Model inputs'!AB60)&lt;=6),'Model inputs'!AB50+('Model inputs'!AB56-'Model inputs'!AB50)*(('Model inputs'!T16-'Model inputs'!AB60)-3)/3,IF(IF(('Model inputs'!T16-'Model inputs'!AB60)&lt;=12="",FALSE,('Model inputs'!T16-'Model inputs'!AB60)&lt;=12),'Model inputs'!AB56+('Model inputs'!AB38-'Model inputs'!AB56)*(('Model inputs'!T16-'Model inputs'!AB60)-6)/6,'Model inputs'!AB38+('Model inputs'!AB44-'Model inputs'!AB38)*(('Model inputs'!T16-'Model inputs'!AB60)-12)/12))),0))</f>
        <v>5</v>
      </c>
      <c r="U8" s="9">
        <f>IF(IF(('Model inputs'!U16-'Model inputs'!AB60)&lt;1="",FALSE,('Model inputs'!U16-'Model inputs'!AB60)&lt;1),0,ROUND(IF(IF(('Model inputs'!U16-'Model inputs'!AB60)&lt;=3="",FALSE,('Model inputs'!U16-'Model inputs'!AB60)&lt;=3),IF('Model inputs'!AB50="","",'Model inputs'!AB50),IF(IF(('Model inputs'!U16-'Model inputs'!AB60)&lt;=6="",FALSE,('Model inputs'!U16-'Model inputs'!AB60)&lt;=6),'Model inputs'!AB50+('Model inputs'!AB56-'Model inputs'!AB50)*(('Model inputs'!U16-'Model inputs'!AB60)-3)/3,IF(IF(('Model inputs'!U16-'Model inputs'!AB60)&lt;=12="",FALSE,('Model inputs'!U16-'Model inputs'!AB60)&lt;=12),'Model inputs'!AB56+('Model inputs'!AB38-'Model inputs'!AB56)*(('Model inputs'!U16-'Model inputs'!AB60)-6)/6,'Model inputs'!AB38+('Model inputs'!AB44-'Model inputs'!AB38)*(('Model inputs'!U16-'Model inputs'!AB60)-12)/12))),0))</f>
        <v>6</v>
      </c>
      <c r="V8" s="9">
        <f>IF(IF(('Model inputs'!V16-'Model inputs'!AB60)&lt;1="",FALSE,('Model inputs'!V16-'Model inputs'!AB60)&lt;1),0,ROUND(IF(IF(('Model inputs'!V16-'Model inputs'!AB60)&lt;=3="",FALSE,('Model inputs'!V16-'Model inputs'!AB60)&lt;=3),IF('Model inputs'!AB50="","",'Model inputs'!AB50),IF(IF(('Model inputs'!V16-'Model inputs'!AB60)&lt;=6="",FALSE,('Model inputs'!V16-'Model inputs'!AB60)&lt;=6),'Model inputs'!AB50+('Model inputs'!AB56-'Model inputs'!AB50)*(('Model inputs'!V16-'Model inputs'!AB60)-3)/3,IF(IF(('Model inputs'!V16-'Model inputs'!AB60)&lt;=12="",FALSE,('Model inputs'!V16-'Model inputs'!AB60)&lt;=12),'Model inputs'!AB56+('Model inputs'!AB38-'Model inputs'!AB56)*(('Model inputs'!V16-'Model inputs'!AB60)-6)/6,'Model inputs'!AB38+('Model inputs'!AB44-'Model inputs'!AB38)*(('Model inputs'!V16-'Model inputs'!AB60)-12)/12))),0))</f>
        <v>7</v>
      </c>
      <c r="W8" s="9">
        <f>IF(IF(('Model inputs'!W16-'Model inputs'!AB60)&lt;1="",FALSE,('Model inputs'!W16-'Model inputs'!AB60)&lt;1),0,ROUND(IF(IF(('Model inputs'!W16-'Model inputs'!AB60)&lt;=3="",FALSE,('Model inputs'!W16-'Model inputs'!AB60)&lt;=3),IF('Model inputs'!AB50="","",'Model inputs'!AB50),IF(IF(('Model inputs'!W16-'Model inputs'!AB60)&lt;=6="",FALSE,('Model inputs'!W16-'Model inputs'!AB60)&lt;=6),'Model inputs'!AB50+('Model inputs'!AB56-'Model inputs'!AB50)*(('Model inputs'!W16-'Model inputs'!AB60)-3)/3,IF(IF(('Model inputs'!W16-'Model inputs'!AB60)&lt;=12="",FALSE,('Model inputs'!W16-'Model inputs'!AB60)&lt;=12),'Model inputs'!AB56+('Model inputs'!AB38-'Model inputs'!AB56)*(('Model inputs'!W16-'Model inputs'!AB60)-6)/6,'Model inputs'!AB38+('Model inputs'!AB44-'Model inputs'!AB38)*(('Model inputs'!W16-'Model inputs'!AB60)-12)/12))),0))</f>
        <v>7</v>
      </c>
      <c r="X8" s="9">
        <f>IF(IF(('Model inputs'!X16-'Model inputs'!AB60)&lt;1="",FALSE,('Model inputs'!X16-'Model inputs'!AB60)&lt;1),0,ROUND(IF(IF(('Model inputs'!X16-'Model inputs'!AB60)&lt;=3="",FALSE,('Model inputs'!X16-'Model inputs'!AB60)&lt;=3),IF('Model inputs'!AB50="","",'Model inputs'!AB50),IF(IF(('Model inputs'!X16-'Model inputs'!AB60)&lt;=6="",FALSE,('Model inputs'!X16-'Model inputs'!AB60)&lt;=6),'Model inputs'!AB50+('Model inputs'!AB56-'Model inputs'!AB50)*(('Model inputs'!X16-'Model inputs'!AB60)-3)/3,IF(IF(('Model inputs'!X16-'Model inputs'!AB60)&lt;=12="",FALSE,('Model inputs'!X16-'Model inputs'!AB60)&lt;=12),'Model inputs'!AB56+('Model inputs'!AB38-'Model inputs'!AB56)*(('Model inputs'!X16-'Model inputs'!AB60)-6)/6,'Model inputs'!AB38+('Model inputs'!AB44-'Model inputs'!AB38)*(('Model inputs'!X16-'Model inputs'!AB60)-12)/12))),0))</f>
        <v>8</v>
      </c>
      <c r="Y8" s="9">
        <f>IF(IF(('Model inputs'!Y16-'Model inputs'!AB60)&lt;1="",FALSE,('Model inputs'!Y16-'Model inputs'!AB60)&lt;1),0,ROUND(IF(IF(('Model inputs'!Y16-'Model inputs'!AB60)&lt;=3="",FALSE,('Model inputs'!Y16-'Model inputs'!AB60)&lt;=3),IF('Model inputs'!AB50="","",'Model inputs'!AB50),IF(IF(('Model inputs'!Y16-'Model inputs'!AB60)&lt;=6="",FALSE,('Model inputs'!Y16-'Model inputs'!AB60)&lt;=6),'Model inputs'!AB50+('Model inputs'!AB56-'Model inputs'!AB50)*(('Model inputs'!Y16-'Model inputs'!AB60)-3)/3,IF(IF(('Model inputs'!Y16-'Model inputs'!AB60)&lt;=12="",FALSE,('Model inputs'!Y16-'Model inputs'!AB60)&lt;=12),'Model inputs'!AB56+('Model inputs'!AB38-'Model inputs'!AB56)*(('Model inputs'!Y16-'Model inputs'!AB60)-6)/6,'Model inputs'!AB38+('Model inputs'!AB44-'Model inputs'!AB38)*(('Model inputs'!Y16-'Model inputs'!AB60)-12)/12))),0))</f>
        <v>8</v>
      </c>
    </row>
    <row r="9">
      <c r="A9" t="inlineStr" s="15">
        <is>
          <t xml:space="preserve">Customers</t>
        </is>
      </c>
      <c r="B9" s="7">
        <f>SUM('Model inputs'!B10,'Model inputs'!B11)</f>
        <v>0</v>
      </c>
      <c r="C9" s="7">
        <f>SUM('Model inputs'!C10,'Model inputs'!C11)</f>
        <v>0</v>
      </c>
      <c r="D9" s="7">
        <f>SUM('Model inputs'!D10,'Model inputs'!D11)</f>
        <v>0</v>
      </c>
      <c r="E9" s="7">
        <f>SUM('Model inputs'!E10,'Model inputs'!E11)</f>
        <v>4</v>
      </c>
      <c r="F9" s="7">
        <f>SUM('Model inputs'!F10,'Model inputs'!F11)</f>
        <v>8</v>
      </c>
      <c r="G9" s="7">
        <f>SUM('Model inputs'!G10,'Model inputs'!G11)</f>
        <v>12</v>
      </c>
      <c r="H9" s="7">
        <f>SUM('Model inputs'!H10,'Model inputs'!H11)</f>
        <v>17</v>
      </c>
      <c r="I9" s="7">
        <f>SUM('Model inputs'!I10,'Model inputs'!I11)</f>
        <v>22</v>
      </c>
      <c r="J9" s="7">
        <f>SUM('Model inputs'!J10,'Model inputs'!J11)</f>
        <v>28</v>
      </c>
      <c r="K9" s="7">
        <f>SUM('Model inputs'!K10,'Model inputs'!K11)</f>
        <v>33</v>
      </c>
      <c r="L9" s="7">
        <f>SUM('Model inputs'!L10,'Model inputs'!L11)</f>
        <v>38</v>
      </c>
      <c r="M9" s="7">
        <f>SUM('Model inputs'!M10,'Model inputs'!M11)</f>
        <v>43</v>
      </c>
      <c r="N9" s="7">
        <f>SUM('Model inputs'!N10,'Model inputs'!N11)</f>
        <v>49</v>
      </c>
      <c r="O9" s="7">
        <f>SUM('Model inputs'!O10,'Model inputs'!O11)</f>
        <v>57</v>
      </c>
      <c r="P9" s="7">
        <f>SUM('Model inputs'!P10,'Model inputs'!P11)</f>
        <v>63</v>
      </c>
      <c r="Q9" s="7">
        <f>SUM('Model inputs'!Q10,'Model inputs'!Q11)</f>
        <v>71</v>
      </c>
      <c r="R9" s="7">
        <f>SUM('Model inputs'!R10,'Model inputs'!R11)</f>
        <v>77</v>
      </c>
      <c r="S9" s="7">
        <f>SUM('Model inputs'!S10,'Model inputs'!S11)</f>
        <v>85</v>
      </c>
      <c r="T9" s="7">
        <f>SUM('Model inputs'!T10,'Model inputs'!T11)</f>
        <v>91</v>
      </c>
      <c r="U9" s="7">
        <f>SUM('Model inputs'!U10,'Model inputs'!U11)</f>
        <v>97</v>
      </c>
      <c r="V9" s="7">
        <f>SUM('Model inputs'!V10,'Model inputs'!V11)</f>
        <v>105</v>
      </c>
      <c r="W9" s="7">
        <f>SUM('Model inputs'!W10,'Model inputs'!W11)</f>
        <v>111</v>
      </c>
      <c r="X9" s="7">
        <f>SUM('Model inputs'!X10,'Model inputs'!X11)</f>
        <v>119</v>
      </c>
      <c r="Y9" s="7">
        <f>SUM('Model inputs'!Y10,'Model inputs'!Y11)</f>
        <v>125</v>
      </c>
    </row>
    <row r="10" outlineLevel="1">
      <c r="A10" t="inlineStr" s="16">
        <is>
          <t xml:space="preserve">Customers &gt; Starter</t>
        </is>
      </c>
      <c r="B10" s="9">
        <f>IF(IF(('Model inputs'!B17-'Model inputs'!AB61)&lt;1="",FALSE,('Model inputs'!B17-'Model inputs'!AB61)&lt;1),0,ROUND(IF(IF(('Model inputs'!B17-'Model inputs'!AB61)&lt;=3="",FALSE,('Model inputs'!B17-'Model inputs'!AB61)&lt;=3),IF('Model inputs'!AB52="","",'Model inputs'!AB52),IF(IF(('Model inputs'!B17-'Model inputs'!AB61)&lt;=6="",FALSE,('Model inputs'!B17-'Model inputs'!AB61)&lt;=6),'Model inputs'!AB52+('Model inputs'!AB58-'Model inputs'!AB52)*(('Model inputs'!B17-'Model inputs'!AB61)-3)/3,IF(IF(('Model inputs'!B17-'Model inputs'!AB61)&lt;=12="",FALSE,('Model inputs'!B17-'Model inputs'!AB61)&lt;=12),'Model inputs'!AB58+('Model inputs'!AB40-'Model inputs'!AB58)*(('Model inputs'!B17-'Model inputs'!AB61)-6)/6,'Model inputs'!AB40+('Model inputs'!AB46-'Model inputs'!AB40)*(('Model inputs'!B17-'Model inputs'!AB61)-12)/12))),0))</f>
        <v>0</v>
      </c>
      <c r="C10" s="9">
        <f>IF(IF(('Model inputs'!C17-'Model inputs'!AB61)&lt;1="",FALSE,('Model inputs'!C17-'Model inputs'!AB61)&lt;1),0,ROUND(IF(IF(('Model inputs'!C17-'Model inputs'!AB61)&lt;=3="",FALSE,('Model inputs'!C17-'Model inputs'!AB61)&lt;=3),IF('Model inputs'!AB52="","",'Model inputs'!AB52),IF(IF(('Model inputs'!C17-'Model inputs'!AB61)&lt;=6="",FALSE,('Model inputs'!C17-'Model inputs'!AB61)&lt;=6),'Model inputs'!AB52+('Model inputs'!AB58-'Model inputs'!AB52)*(('Model inputs'!C17-'Model inputs'!AB61)-3)/3,IF(IF(('Model inputs'!C17-'Model inputs'!AB61)&lt;=12="",FALSE,('Model inputs'!C17-'Model inputs'!AB61)&lt;=12),'Model inputs'!AB58+('Model inputs'!AB40-'Model inputs'!AB58)*(('Model inputs'!C17-'Model inputs'!AB61)-6)/6,'Model inputs'!AB40+('Model inputs'!AB46-'Model inputs'!AB40)*(('Model inputs'!C17-'Model inputs'!AB61)-12)/12))),0))</f>
        <v>0</v>
      </c>
      <c r="D10" s="9">
        <f>IF(IF(('Model inputs'!D17-'Model inputs'!AB61)&lt;1="",FALSE,('Model inputs'!D17-'Model inputs'!AB61)&lt;1),0,ROUND(IF(IF(('Model inputs'!D17-'Model inputs'!AB61)&lt;=3="",FALSE,('Model inputs'!D17-'Model inputs'!AB61)&lt;=3),IF('Model inputs'!AB52="","",'Model inputs'!AB52),IF(IF(('Model inputs'!D17-'Model inputs'!AB61)&lt;=6="",FALSE,('Model inputs'!D17-'Model inputs'!AB61)&lt;=6),'Model inputs'!AB52+('Model inputs'!AB58-'Model inputs'!AB52)*(('Model inputs'!D17-'Model inputs'!AB61)-3)/3,IF(IF(('Model inputs'!D17-'Model inputs'!AB61)&lt;=12="",FALSE,('Model inputs'!D17-'Model inputs'!AB61)&lt;=12),'Model inputs'!AB58+('Model inputs'!AB40-'Model inputs'!AB58)*(('Model inputs'!D17-'Model inputs'!AB61)-6)/6,'Model inputs'!AB40+('Model inputs'!AB46-'Model inputs'!AB40)*(('Model inputs'!D17-'Model inputs'!AB61)-12)/12))),0))</f>
        <v>0</v>
      </c>
      <c r="E10" s="9">
        <f>IF(IF(('Model inputs'!E17-'Model inputs'!AB61)&lt;1="",FALSE,('Model inputs'!E17-'Model inputs'!AB61)&lt;1),0,ROUND(IF(IF(('Model inputs'!E17-'Model inputs'!AB61)&lt;=3="",FALSE,('Model inputs'!E17-'Model inputs'!AB61)&lt;=3),IF('Model inputs'!AB52="","",'Model inputs'!AB52),IF(IF(('Model inputs'!E17-'Model inputs'!AB61)&lt;=6="",FALSE,('Model inputs'!E17-'Model inputs'!AB61)&lt;=6),'Model inputs'!AB52+('Model inputs'!AB58-'Model inputs'!AB52)*(('Model inputs'!E17-'Model inputs'!AB61)-3)/3,IF(IF(('Model inputs'!E17-'Model inputs'!AB61)&lt;=12="",FALSE,('Model inputs'!E17-'Model inputs'!AB61)&lt;=12),'Model inputs'!AB58+('Model inputs'!AB40-'Model inputs'!AB58)*(('Model inputs'!E17-'Model inputs'!AB61)-6)/6,'Model inputs'!AB40+('Model inputs'!AB46-'Model inputs'!AB40)*(('Model inputs'!E17-'Model inputs'!AB61)-12)/12))),0))</f>
        <v>3</v>
      </c>
      <c r="F10" s="9">
        <f>IF(IF(('Model inputs'!F17-'Model inputs'!AB61)&lt;1="",FALSE,('Model inputs'!F17-'Model inputs'!AB61)&lt;1),0,ROUND(IF(IF(('Model inputs'!F17-'Model inputs'!AB61)&lt;=3="",FALSE,('Model inputs'!F17-'Model inputs'!AB61)&lt;=3),IF('Model inputs'!AB52="","",'Model inputs'!AB52),IF(IF(('Model inputs'!F17-'Model inputs'!AB61)&lt;=6="",FALSE,('Model inputs'!F17-'Model inputs'!AB61)&lt;=6),'Model inputs'!AB52+('Model inputs'!AB58-'Model inputs'!AB52)*(('Model inputs'!F17-'Model inputs'!AB61)-3)/3,IF(IF(('Model inputs'!F17-'Model inputs'!AB61)&lt;=12="",FALSE,('Model inputs'!F17-'Model inputs'!AB61)&lt;=12),'Model inputs'!AB58+('Model inputs'!AB40-'Model inputs'!AB58)*(('Model inputs'!F17-'Model inputs'!AB61)-6)/6,'Model inputs'!AB40+('Model inputs'!AB46-'Model inputs'!AB40)*(('Model inputs'!F17-'Model inputs'!AB61)-12)/12))),0))</f>
        <v>7</v>
      </c>
      <c r="G10" s="9">
        <f>IF(IF(('Model inputs'!G17-'Model inputs'!AB61)&lt;1="",FALSE,('Model inputs'!G17-'Model inputs'!AB61)&lt;1),0,ROUND(IF(IF(('Model inputs'!G17-'Model inputs'!AB61)&lt;=3="",FALSE,('Model inputs'!G17-'Model inputs'!AB61)&lt;=3),IF('Model inputs'!AB52="","",'Model inputs'!AB52),IF(IF(('Model inputs'!G17-'Model inputs'!AB61)&lt;=6="",FALSE,('Model inputs'!G17-'Model inputs'!AB61)&lt;=6),'Model inputs'!AB52+('Model inputs'!AB58-'Model inputs'!AB52)*(('Model inputs'!G17-'Model inputs'!AB61)-3)/3,IF(IF(('Model inputs'!G17-'Model inputs'!AB61)&lt;=12="",FALSE,('Model inputs'!G17-'Model inputs'!AB61)&lt;=12),'Model inputs'!AB58+('Model inputs'!AB40-'Model inputs'!AB58)*(('Model inputs'!G17-'Model inputs'!AB61)-6)/6,'Model inputs'!AB40+('Model inputs'!AB46-'Model inputs'!AB40)*(('Model inputs'!G17-'Model inputs'!AB61)-12)/12))),0))</f>
        <v>10</v>
      </c>
      <c r="H10" s="9">
        <f>IF(IF(('Model inputs'!H17-'Model inputs'!AB61)&lt;1="",FALSE,('Model inputs'!H17-'Model inputs'!AB61)&lt;1),0,ROUND(IF(IF(('Model inputs'!H17-'Model inputs'!AB61)&lt;=3="",FALSE,('Model inputs'!H17-'Model inputs'!AB61)&lt;=3),IF('Model inputs'!AB52="","",'Model inputs'!AB52),IF(IF(('Model inputs'!H17-'Model inputs'!AB61)&lt;=6="",FALSE,('Model inputs'!H17-'Model inputs'!AB61)&lt;=6),'Model inputs'!AB52+('Model inputs'!AB58-'Model inputs'!AB52)*(('Model inputs'!H17-'Model inputs'!AB61)-3)/3,IF(IF(('Model inputs'!H17-'Model inputs'!AB61)&lt;=12="",FALSE,('Model inputs'!H17-'Model inputs'!AB61)&lt;=12),'Model inputs'!AB58+('Model inputs'!AB40-'Model inputs'!AB58)*(('Model inputs'!H17-'Model inputs'!AB61)-6)/6,'Model inputs'!AB40+('Model inputs'!AB46-'Model inputs'!AB40)*(('Model inputs'!H17-'Model inputs'!AB61)-12)/12))),0))</f>
        <v>14</v>
      </c>
      <c r="I10" s="9">
        <f>IF(IF(('Model inputs'!I17-'Model inputs'!AB61)&lt;1="",FALSE,('Model inputs'!I17-'Model inputs'!AB61)&lt;1),0,ROUND(IF(IF(('Model inputs'!I17-'Model inputs'!AB61)&lt;=3="",FALSE,('Model inputs'!I17-'Model inputs'!AB61)&lt;=3),IF('Model inputs'!AB52="","",'Model inputs'!AB52),IF(IF(('Model inputs'!I17-'Model inputs'!AB61)&lt;=6="",FALSE,('Model inputs'!I17-'Model inputs'!AB61)&lt;=6),'Model inputs'!AB52+('Model inputs'!AB58-'Model inputs'!AB52)*(('Model inputs'!I17-'Model inputs'!AB61)-3)/3,IF(IF(('Model inputs'!I17-'Model inputs'!AB61)&lt;=12="",FALSE,('Model inputs'!I17-'Model inputs'!AB61)&lt;=12),'Model inputs'!AB58+('Model inputs'!AB40-'Model inputs'!AB58)*(('Model inputs'!I17-'Model inputs'!AB61)-6)/6,'Model inputs'!AB40+('Model inputs'!AB46-'Model inputs'!AB40)*(('Model inputs'!I17-'Model inputs'!AB61)-12)/12))),0))</f>
        <v>18</v>
      </c>
      <c r="J10" s="9">
        <f>IF(IF(('Model inputs'!J17-'Model inputs'!AB61)&lt;1="",FALSE,('Model inputs'!J17-'Model inputs'!AB61)&lt;1),0,ROUND(IF(IF(('Model inputs'!J17-'Model inputs'!AB61)&lt;=3="",FALSE,('Model inputs'!J17-'Model inputs'!AB61)&lt;=3),IF('Model inputs'!AB52="","",'Model inputs'!AB52),IF(IF(('Model inputs'!J17-'Model inputs'!AB61)&lt;=6="",FALSE,('Model inputs'!J17-'Model inputs'!AB61)&lt;=6),'Model inputs'!AB52+('Model inputs'!AB58-'Model inputs'!AB52)*(('Model inputs'!J17-'Model inputs'!AB61)-3)/3,IF(IF(('Model inputs'!J17-'Model inputs'!AB61)&lt;=12="",FALSE,('Model inputs'!J17-'Model inputs'!AB61)&lt;=12),'Model inputs'!AB58+('Model inputs'!AB40-'Model inputs'!AB58)*(('Model inputs'!J17-'Model inputs'!AB61)-6)/6,'Model inputs'!AB40+('Model inputs'!AB46-'Model inputs'!AB40)*(('Model inputs'!J17-'Model inputs'!AB61)-12)/12))),0))</f>
        <v>23</v>
      </c>
      <c r="K10" s="9">
        <f>IF(IF(('Model inputs'!K17-'Model inputs'!AB61)&lt;1="",FALSE,('Model inputs'!K17-'Model inputs'!AB61)&lt;1),0,ROUND(IF(IF(('Model inputs'!K17-'Model inputs'!AB61)&lt;=3="",FALSE,('Model inputs'!K17-'Model inputs'!AB61)&lt;=3),IF('Model inputs'!AB52="","",'Model inputs'!AB52),IF(IF(('Model inputs'!K17-'Model inputs'!AB61)&lt;=6="",FALSE,('Model inputs'!K17-'Model inputs'!AB61)&lt;=6),'Model inputs'!AB52+('Model inputs'!AB58-'Model inputs'!AB52)*(('Model inputs'!K17-'Model inputs'!AB61)-3)/3,IF(IF(('Model inputs'!K17-'Model inputs'!AB61)&lt;=12="",FALSE,('Model inputs'!K17-'Model inputs'!AB61)&lt;=12),'Model inputs'!AB58+('Model inputs'!AB40-'Model inputs'!AB58)*(('Model inputs'!K17-'Model inputs'!AB61)-6)/6,'Model inputs'!AB40+('Model inputs'!AB46-'Model inputs'!AB40)*(('Model inputs'!K17-'Model inputs'!AB61)-12)/12))),0))</f>
        <v>27</v>
      </c>
      <c r="L10" s="9">
        <f>IF(IF(('Model inputs'!L17-'Model inputs'!AB61)&lt;1="",FALSE,('Model inputs'!L17-'Model inputs'!AB61)&lt;1),0,ROUND(IF(IF(('Model inputs'!L17-'Model inputs'!AB61)&lt;=3="",FALSE,('Model inputs'!L17-'Model inputs'!AB61)&lt;=3),IF('Model inputs'!AB52="","",'Model inputs'!AB52),IF(IF(('Model inputs'!L17-'Model inputs'!AB61)&lt;=6="",FALSE,('Model inputs'!L17-'Model inputs'!AB61)&lt;=6),'Model inputs'!AB52+('Model inputs'!AB58-'Model inputs'!AB52)*(('Model inputs'!L17-'Model inputs'!AB61)-3)/3,IF(IF(('Model inputs'!L17-'Model inputs'!AB61)&lt;=12="",FALSE,('Model inputs'!L17-'Model inputs'!AB61)&lt;=12),'Model inputs'!AB58+('Model inputs'!AB40-'Model inputs'!AB58)*(('Model inputs'!L17-'Model inputs'!AB61)-6)/6,'Model inputs'!AB40+('Model inputs'!AB46-'Model inputs'!AB40)*(('Model inputs'!L17-'Model inputs'!AB61)-12)/12))),0))</f>
        <v>31</v>
      </c>
      <c r="M10" s="9">
        <f>IF(IF(('Model inputs'!M17-'Model inputs'!AB61)&lt;1="",FALSE,('Model inputs'!M17-'Model inputs'!AB61)&lt;1),0,ROUND(IF(IF(('Model inputs'!M17-'Model inputs'!AB61)&lt;=3="",FALSE,('Model inputs'!M17-'Model inputs'!AB61)&lt;=3),IF('Model inputs'!AB52="","",'Model inputs'!AB52),IF(IF(('Model inputs'!M17-'Model inputs'!AB61)&lt;=6="",FALSE,('Model inputs'!M17-'Model inputs'!AB61)&lt;=6),'Model inputs'!AB52+('Model inputs'!AB58-'Model inputs'!AB52)*(('Model inputs'!M17-'Model inputs'!AB61)-3)/3,IF(IF(('Model inputs'!M17-'Model inputs'!AB61)&lt;=12="",FALSE,('Model inputs'!M17-'Model inputs'!AB61)&lt;=12),'Model inputs'!AB58+('Model inputs'!AB40-'Model inputs'!AB58)*(('Model inputs'!M17-'Model inputs'!AB61)-6)/6,'Model inputs'!AB40+('Model inputs'!AB46-'Model inputs'!AB40)*(('Model inputs'!M17-'Model inputs'!AB61)-12)/12))),0))</f>
        <v>35</v>
      </c>
      <c r="N10" s="9">
        <f>IF(IF(('Model inputs'!N17-'Model inputs'!AB61)&lt;1="",FALSE,('Model inputs'!N17-'Model inputs'!AB61)&lt;1),0,ROUND(IF(IF(('Model inputs'!N17-'Model inputs'!AB61)&lt;=3="",FALSE,('Model inputs'!N17-'Model inputs'!AB61)&lt;=3),IF('Model inputs'!AB52="","",'Model inputs'!AB52),IF(IF(('Model inputs'!N17-'Model inputs'!AB61)&lt;=6="",FALSE,('Model inputs'!N17-'Model inputs'!AB61)&lt;=6),'Model inputs'!AB52+('Model inputs'!AB58-'Model inputs'!AB52)*(('Model inputs'!N17-'Model inputs'!AB61)-3)/3,IF(IF(('Model inputs'!N17-'Model inputs'!AB61)&lt;=12="",FALSE,('Model inputs'!N17-'Model inputs'!AB61)&lt;=12),'Model inputs'!AB58+('Model inputs'!AB40-'Model inputs'!AB58)*(('Model inputs'!N17-'Model inputs'!AB61)-6)/6,'Model inputs'!AB40+('Model inputs'!AB46-'Model inputs'!AB40)*(('Model inputs'!N17-'Model inputs'!AB61)-12)/12))),0))</f>
        <v>40</v>
      </c>
      <c r="O10" s="9">
        <f>IF(IF(('Model inputs'!O17-'Model inputs'!AB61)&lt;1="",FALSE,('Model inputs'!O17-'Model inputs'!AB61)&lt;1),0,ROUND(IF(IF(('Model inputs'!O17-'Model inputs'!AB61)&lt;=3="",FALSE,('Model inputs'!O17-'Model inputs'!AB61)&lt;=3),IF('Model inputs'!AB52="","",'Model inputs'!AB52),IF(IF(('Model inputs'!O17-'Model inputs'!AB61)&lt;=6="",FALSE,('Model inputs'!O17-'Model inputs'!AB61)&lt;=6),'Model inputs'!AB52+('Model inputs'!AB58-'Model inputs'!AB52)*(('Model inputs'!O17-'Model inputs'!AB61)-3)/3,IF(IF(('Model inputs'!O17-'Model inputs'!AB61)&lt;=12="",FALSE,('Model inputs'!O17-'Model inputs'!AB61)&lt;=12),'Model inputs'!AB58+('Model inputs'!AB40-'Model inputs'!AB58)*(('Model inputs'!O17-'Model inputs'!AB61)-6)/6,'Model inputs'!AB40+('Model inputs'!AB46-'Model inputs'!AB40)*(('Model inputs'!O17-'Model inputs'!AB61)-12)/12))),0))</f>
        <v>46</v>
      </c>
      <c r="P10" s="9">
        <f>IF(IF(('Model inputs'!P17-'Model inputs'!AB61)&lt;1="",FALSE,('Model inputs'!P17-'Model inputs'!AB61)&lt;1),0,ROUND(IF(IF(('Model inputs'!P17-'Model inputs'!AB61)&lt;=3="",FALSE,('Model inputs'!P17-'Model inputs'!AB61)&lt;=3),IF('Model inputs'!AB52="","",'Model inputs'!AB52),IF(IF(('Model inputs'!P17-'Model inputs'!AB61)&lt;=6="",FALSE,('Model inputs'!P17-'Model inputs'!AB61)&lt;=6),'Model inputs'!AB52+('Model inputs'!AB58-'Model inputs'!AB52)*(('Model inputs'!P17-'Model inputs'!AB61)-3)/3,IF(IF(('Model inputs'!P17-'Model inputs'!AB61)&lt;=12="",FALSE,('Model inputs'!P17-'Model inputs'!AB61)&lt;=12),'Model inputs'!AB58+('Model inputs'!AB40-'Model inputs'!AB58)*(('Model inputs'!P17-'Model inputs'!AB61)-6)/6,'Model inputs'!AB40+('Model inputs'!AB46-'Model inputs'!AB40)*(('Model inputs'!P17-'Model inputs'!AB61)-12)/12))),0))</f>
        <v>51</v>
      </c>
      <c r="Q10" s="9">
        <f>IF(IF(('Model inputs'!Q17-'Model inputs'!AB61)&lt;1="",FALSE,('Model inputs'!Q17-'Model inputs'!AB61)&lt;1),0,ROUND(IF(IF(('Model inputs'!Q17-'Model inputs'!AB61)&lt;=3="",FALSE,('Model inputs'!Q17-'Model inputs'!AB61)&lt;=3),IF('Model inputs'!AB52="","",'Model inputs'!AB52),IF(IF(('Model inputs'!Q17-'Model inputs'!AB61)&lt;=6="",FALSE,('Model inputs'!Q17-'Model inputs'!AB61)&lt;=6),'Model inputs'!AB52+('Model inputs'!AB58-'Model inputs'!AB52)*(('Model inputs'!Q17-'Model inputs'!AB61)-3)/3,IF(IF(('Model inputs'!Q17-'Model inputs'!AB61)&lt;=12="",FALSE,('Model inputs'!Q17-'Model inputs'!AB61)&lt;=12),'Model inputs'!AB58+('Model inputs'!AB40-'Model inputs'!AB58)*(('Model inputs'!Q17-'Model inputs'!AB61)-6)/6,'Model inputs'!AB40+('Model inputs'!AB46-'Model inputs'!AB40)*(('Model inputs'!Q17-'Model inputs'!AB61)-12)/12))),0))</f>
        <v>57</v>
      </c>
      <c r="R10" s="9">
        <f>IF(IF(('Model inputs'!R17-'Model inputs'!AB61)&lt;1="",FALSE,('Model inputs'!R17-'Model inputs'!AB61)&lt;1),0,ROUND(IF(IF(('Model inputs'!R17-'Model inputs'!AB61)&lt;=3="",FALSE,('Model inputs'!R17-'Model inputs'!AB61)&lt;=3),IF('Model inputs'!AB52="","",'Model inputs'!AB52),IF(IF(('Model inputs'!R17-'Model inputs'!AB61)&lt;=6="",FALSE,('Model inputs'!R17-'Model inputs'!AB61)&lt;=6),'Model inputs'!AB52+('Model inputs'!AB58-'Model inputs'!AB52)*(('Model inputs'!R17-'Model inputs'!AB61)-3)/3,IF(IF(('Model inputs'!R17-'Model inputs'!AB61)&lt;=12="",FALSE,('Model inputs'!R17-'Model inputs'!AB61)&lt;=12),'Model inputs'!AB58+('Model inputs'!AB40-'Model inputs'!AB58)*(('Model inputs'!R17-'Model inputs'!AB61)-6)/6,'Model inputs'!AB40+('Model inputs'!AB46-'Model inputs'!AB40)*(('Model inputs'!R17-'Model inputs'!AB61)-12)/12))),0))</f>
        <v>62</v>
      </c>
      <c r="S10" s="9">
        <f>IF(IF(('Model inputs'!S17-'Model inputs'!AB61)&lt;1="",FALSE,('Model inputs'!S17-'Model inputs'!AB61)&lt;1),0,ROUND(IF(IF(('Model inputs'!S17-'Model inputs'!AB61)&lt;=3="",FALSE,('Model inputs'!S17-'Model inputs'!AB61)&lt;=3),IF('Model inputs'!AB52="","",'Model inputs'!AB52),IF(IF(('Model inputs'!S17-'Model inputs'!AB61)&lt;=6="",FALSE,('Model inputs'!S17-'Model inputs'!AB61)&lt;=6),'Model inputs'!AB52+('Model inputs'!AB58-'Model inputs'!AB52)*(('Model inputs'!S17-'Model inputs'!AB61)-3)/3,IF(IF(('Model inputs'!S17-'Model inputs'!AB61)&lt;=12="",FALSE,('Model inputs'!S17-'Model inputs'!AB61)&lt;=12),'Model inputs'!AB58+('Model inputs'!AB40-'Model inputs'!AB58)*(('Model inputs'!S17-'Model inputs'!AB61)-6)/6,'Model inputs'!AB40+('Model inputs'!AB46-'Model inputs'!AB40)*(('Model inputs'!S17-'Model inputs'!AB61)-12)/12))),0))</f>
        <v>68</v>
      </c>
      <c r="T10" s="9">
        <f>IF(IF(('Model inputs'!T17-'Model inputs'!AB61)&lt;1="",FALSE,('Model inputs'!T17-'Model inputs'!AB61)&lt;1),0,ROUND(IF(IF(('Model inputs'!T17-'Model inputs'!AB61)&lt;=3="",FALSE,('Model inputs'!T17-'Model inputs'!AB61)&lt;=3),IF('Model inputs'!AB52="","",'Model inputs'!AB52),IF(IF(('Model inputs'!T17-'Model inputs'!AB61)&lt;=6="",FALSE,('Model inputs'!T17-'Model inputs'!AB61)&lt;=6),'Model inputs'!AB52+('Model inputs'!AB58-'Model inputs'!AB52)*(('Model inputs'!T17-'Model inputs'!AB61)-3)/3,IF(IF(('Model inputs'!T17-'Model inputs'!AB61)&lt;=12="",FALSE,('Model inputs'!T17-'Model inputs'!AB61)&lt;=12),'Model inputs'!AB58+('Model inputs'!AB40-'Model inputs'!AB58)*(('Model inputs'!T17-'Model inputs'!AB61)-6)/6,'Model inputs'!AB40+('Model inputs'!AB46-'Model inputs'!AB40)*(('Model inputs'!T17-'Model inputs'!AB61)-12)/12))),0))</f>
        <v>73</v>
      </c>
      <c r="U10" s="9">
        <f>IF(IF(('Model inputs'!U17-'Model inputs'!AB61)&lt;1="",FALSE,('Model inputs'!U17-'Model inputs'!AB61)&lt;1),0,ROUND(IF(IF(('Model inputs'!U17-'Model inputs'!AB61)&lt;=3="",FALSE,('Model inputs'!U17-'Model inputs'!AB61)&lt;=3),IF('Model inputs'!AB52="","",'Model inputs'!AB52),IF(IF(('Model inputs'!U17-'Model inputs'!AB61)&lt;=6="",FALSE,('Model inputs'!U17-'Model inputs'!AB61)&lt;=6),'Model inputs'!AB52+('Model inputs'!AB58-'Model inputs'!AB52)*(('Model inputs'!U17-'Model inputs'!AB61)-3)/3,IF(IF(('Model inputs'!U17-'Model inputs'!AB61)&lt;=12="",FALSE,('Model inputs'!U17-'Model inputs'!AB61)&lt;=12),'Model inputs'!AB58+('Model inputs'!AB40-'Model inputs'!AB58)*(('Model inputs'!U17-'Model inputs'!AB61)-6)/6,'Model inputs'!AB40+('Model inputs'!AB46-'Model inputs'!AB40)*(('Model inputs'!U17-'Model inputs'!AB61)-12)/12))),0))</f>
        <v>78</v>
      </c>
      <c r="V10" s="9">
        <f>IF(IF(('Model inputs'!V17-'Model inputs'!AB61)&lt;1="",FALSE,('Model inputs'!V17-'Model inputs'!AB61)&lt;1),0,ROUND(IF(IF(('Model inputs'!V17-'Model inputs'!AB61)&lt;=3="",FALSE,('Model inputs'!V17-'Model inputs'!AB61)&lt;=3),IF('Model inputs'!AB52="","",'Model inputs'!AB52),IF(IF(('Model inputs'!V17-'Model inputs'!AB61)&lt;=6="",FALSE,('Model inputs'!V17-'Model inputs'!AB61)&lt;=6),'Model inputs'!AB52+('Model inputs'!AB58-'Model inputs'!AB52)*(('Model inputs'!V17-'Model inputs'!AB61)-3)/3,IF(IF(('Model inputs'!V17-'Model inputs'!AB61)&lt;=12="",FALSE,('Model inputs'!V17-'Model inputs'!AB61)&lt;=12),'Model inputs'!AB58+('Model inputs'!AB40-'Model inputs'!AB58)*(('Model inputs'!V17-'Model inputs'!AB61)-6)/6,'Model inputs'!AB40+('Model inputs'!AB46-'Model inputs'!AB40)*(('Model inputs'!V17-'Model inputs'!AB61)-12)/12))),0))</f>
        <v>84</v>
      </c>
      <c r="W10" s="9">
        <f>IF(IF(('Model inputs'!W17-'Model inputs'!AB61)&lt;1="",FALSE,('Model inputs'!W17-'Model inputs'!AB61)&lt;1),0,ROUND(IF(IF(('Model inputs'!W17-'Model inputs'!AB61)&lt;=3="",FALSE,('Model inputs'!W17-'Model inputs'!AB61)&lt;=3),IF('Model inputs'!AB52="","",'Model inputs'!AB52),IF(IF(('Model inputs'!W17-'Model inputs'!AB61)&lt;=6="",FALSE,('Model inputs'!W17-'Model inputs'!AB61)&lt;=6),'Model inputs'!AB52+('Model inputs'!AB58-'Model inputs'!AB52)*(('Model inputs'!W17-'Model inputs'!AB61)-3)/3,IF(IF(('Model inputs'!W17-'Model inputs'!AB61)&lt;=12="",FALSE,('Model inputs'!W17-'Model inputs'!AB61)&lt;=12),'Model inputs'!AB58+('Model inputs'!AB40-'Model inputs'!AB58)*(('Model inputs'!W17-'Model inputs'!AB61)-6)/6,'Model inputs'!AB40+('Model inputs'!AB46-'Model inputs'!AB40)*(('Model inputs'!W17-'Model inputs'!AB61)-12)/12))),0))</f>
        <v>89</v>
      </c>
      <c r="X10" s="9">
        <f>IF(IF(('Model inputs'!X17-'Model inputs'!AB61)&lt;1="",FALSE,('Model inputs'!X17-'Model inputs'!AB61)&lt;1),0,ROUND(IF(IF(('Model inputs'!X17-'Model inputs'!AB61)&lt;=3="",FALSE,('Model inputs'!X17-'Model inputs'!AB61)&lt;=3),IF('Model inputs'!AB52="","",'Model inputs'!AB52),IF(IF(('Model inputs'!X17-'Model inputs'!AB61)&lt;=6="",FALSE,('Model inputs'!X17-'Model inputs'!AB61)&lt;=6),'Model inputs'!AB52+('Model inputs'!AB58-'Model inputs'!AB52)*(('Model inputs'!X17-'Model inputs'!AB61)-3)/3,IF(IF(('Model inputs'!X17-'Model inputs'!AB61)&lt;=12="",FALSE,('Model inputs'!X17-'Model inputs'!AB61)&lt;=12),'Model inputs'!AB58+('Model inputs'!AB40-'Model inputs'!AB58)*(('Model inputs'!X17-'Model inputs'!AB61)-6)/6,'Model inputs'!AB40+('Model inputs'!AB46-'Model inputs'!AB40)*(('Model inputs'!X17-'Model inputs'!AB61)-12)/12))),0))</f>
        <v>95</v>
      </c>
      <c r="Y10" s="9">
        <f>IF(IF(('Model inputs'!Y17-'Model inputs'!AB61)&lt;1="",FALSE,('Model inputs'!Y17-'Model inputs'!AB61)&lt;1),0,ROUND(IF(IF(('Model inputs'!Y17-'Model inputs'!AB61)&lt;=3="",FALSE,('Model inputs'!Y17-'Model inputs'!AB61)&lt;=3),IF('Model inputs'!AB52="","",'Model inputs'!AB52),IF(IF(('Model inputs'!Y17-'Model inputs'!AB61)&lt;=6="",FALSE,('Model inputs'!Y17-'Model inputs'!AB61)&lt;=6),'Model inputs'!AB52+('Model inputs'!AB58-'Model inputs'!AB52)*(('Model inputs'!Y17-'Model inputs'!AB61)-3)/3,IF(IF(('Model inputs'!Y17-'Model inputs'!AB61)&lt;=12="",FALSE,('Model inputs'!Y17-'Model inputs'!AB61)&lt;=12),'Model inputs'!AB58+('Model inputs'!AB40-'Model inputs'!AB58)*(('Model inputs'!Y17-'Model inputs'!AB61)-6)/6,'Model inputs'!AB40+('Model inputs'!AB46-'Model inputs'!AB40)*(('Model inputs'!Y17-'Model inputs'!AB61)-12)/12))),0))</f>
        <v>100</v>
      </c>
    </row>
    <row r="11" outlineLevel="1">
      <c r="A11" t="inlineStr" s="16">
        <is>
          <t xml:space="preserve">Customers &gt; Team</t>
        </is>
      </c>
      <c r="B11" s="9">
        <f>IF(IF(('Model inputs'!B17-'Model inputs'!AB61)&lt;1="",FALSE,('Model inputs'!B17-'Model inputs'!AB61)&lt;1),0,ROUND(IF(IF(('Model inputs'!B17-'Model inputs'!AB61)&lt;=3="",FALSE,('Model inputs'!B17-'Model inputs'!AB61)&lt;=3),IF('Model inputs'!AB53="","",'Model inputs'!AB53),IF(IF(('Model inputs'!B17-'Model inputs'!AB61)&lt;=6="",FALSE,('Model inputs'!B17-'Model inputs'!AB61)&lt;=6),'Model inputs'!AB53+('Model inputs'!AB59-'Model inputs'!AB53)*(('Model inputs'!B17-'Model inputs'!AB61)-3)/3,IF(IF(('Model inputs'!B17-'Model inputs'!AB61)&lt;=12="",FALSE,('Model inputs'!B17-'Model inputs'!AB61)&lt;=12),'Model inputs'!AB59+('Model inputs'!AB41-'Model inputs'!AB59)*(('Model inputs'!B17-'Model inputs'!AB61)-6)/6,'Model inputs'!AB41+('Model inputs'!AB47-'Model inputs'!AB41)*(('Model inputs'!B17-'Model inputs'!AB61)-12)/12))),0))</f>
        <v>0</v>
      </c>
      <c r="C11" s="9">
        <f>IF(IF(('Model inputs'!C17-'Model inputs'!AB61)&lt;1="",FALSE,('Model inputs'!C17-'Model inputs'!AB61)&lt;1),0,ROUND(IF(IF(('Model inputs'!C17-'Model inputs'!AB61)&lt;=3="",FALSE,('Model inputs'!C17-'Model inputs'!AB61)&lt;=3),IF('Model inputs'!AB53="","",'Model inputs'!AB53),IF(IF(('Model inputs'!C17-'Model inputs'!AB61)&lt;=6="",FALSE,('Model inputs'!C17-'Model inputs'!AB61)&lt;=6),'Model inputs'!AB53+('Model inputs'!AB59-'Model inputs'!AB53)*(('Model inputs'!C17-'Model inputs'!AB61)-3)/3,IF(IF(('Model inputs'!C17-'Model inputs'!AB61)&lt;=12="",FALSE,('Model inputs'!C17-'Model inputs'!AB61)&lt;=12),'Model inputs'!AB59+('Model inputs'!AB41-'Model inputs'!AB59)*(('Model inputs'!C17-'Model inputs'!AB61)-6)/6,'Model inputs'!AB41+('Model inputs'!AB47-'Model inputs'!AB41)*(('Model inputs'!C17-'Model inputs'!AB61)-12)/12))),0))</f>
        <v>0</v>
      </c>
      <c r="D11" s="9">
        <f>IF(IF(('Model inputs'!D17-'Model inputs'!AB61)&lt;1="",FALSE,('Model inputs'!D17-'Model inputs'!AB61)&lt;1),0,ROUND(IF(IF(('Model inputs'!D17-'Model inputs'!AB61)&lt;=3="",FALSE,('Model inputs'!D17-'Model inputs'!AB61)&lt;=3),IF('Model inputs'!AB53="","",'Model inputs'!AB53),IF(IF(('Model inputs'!D17-'Model inputs'!AB61)&lt;=6="",FALSE,('Model inputs'!D17-'Model inputs'!AB61)&lt;=6),'Model inputs'!AB53+('Model inputs'!AB59-'Model inputs'!AB53)*(('Model inputs'!D17-'Model inputs'!AB61)-3)/3,IF(IF(('Model inputs'!D17-'Model inputs'!AB61)&lt;=12="",FALSE,('Model inputs'!D17-'Model inputs'!AB61)&lt;=12),'Model inputs'!AB59+('Model inputs'!AB41-'Model inputs'!AB59)*(('Model inputs'!D17-'Model inputs'!AB61)-6)/6,'Model inputs'!AB41+('Model inputs'!AB47-'Model inputs'!AB41)*(('Model inputs'!D17-'Model inputs'!AB61)-12)/12))),0))</f>
        <v>0</v>
      </c>
      <c r="E11" s="9">
        <f>IF(IF(('Model inputs'!E17-'Model inputs'!AB61)&lt;1="",FALSE,('Model inputs'!E17-'Model inputs'!AB61)&lt;1),0,ROUND(IF(IF(('Model inputs'!E17-'Model inputs'!AB61)&lt;=3="",FALSE,('Model inputs'!E17-'Model inputs'!AB61)&lt;=3),IF('Model inputs'!AB53="","",'Model inputs'!AB53),IF(IF(('Model inputs'!E17-'Model inputs'!AB61)&lt;=6="",FALSE,('Model inputs'!E17-'Model inputs'!AB61)&lt;=6),'Model inputs'!AB53+('Model inputs'!AB59-'Model inputs'!AB53)*(('Model inputs'!E17-'Model inputs'!AB61)-3)/3,IF(IF(('Model inputs'!E17-'Model inputs'!AB61)&lt;=12="",FALSE,('Model inputs'!E17-'Model inputs'!AB61)&lt;=12),'Model inputs'!AB59+('Model inputs'!AB41-'Model inputs'!AB59)*(('Model inputs'!E17-'Model inputs'!AB61)-6)/6,'Model inputs'!AB41+('Model inputs'!AB47-'Model inputs'!AB41)*(('Model inputs'!E17-'Model inputs'!AB61)-12)/12))),0))</f>
        <v>1</v>
      </c>
      <c r="F11" s="9">
        <f>IF(IF(('Model inputs'!F17-'Model inputs'!AB61)&lt;1="",FALSE,('Model inputs'!F17-'Model inputs'!AB61)&lt;1),0,ROUND(IF(IF(('Model inputs'!F17-'Model inputs'!AB61)&lt;=3="",FALSE,('Model inputs'!F17-'Model inputs'!AB61)&lt;=3),IF('Model inputs'!AB53="","",'Model inputs'!AB53),IF(IF(('Model inputs'!F17-'Model inputs'!AB61)&lt;=6="",FALSE,('Model inputs'!F17-'Model inputs'!AB61)&lt;=6),'Model inputs'!AB53+('Model inputs'!AB59-'Model inputs'!AB53)*(('Model inputs'!F17-'Model inputs'!AB61)-3)/3,IF(IF(('Model inputs'!F17-'Model inputs'!AB61)&lt;=12="",FALSE,('Model inputs'!F17-'Model inputs'!AB61)&lt;=12),'Model inputs'!AB59+('Model inputs'!AB41-'Model inputs'!AB59)*(('Model inputs'!F17-'Model inputs'!AB61)-6)/6,'Model inputs'!AB41+('Model inputs'!AB47-'Model inputs'!AB41)*(('Model inputs'!F17-'Model inputs'!AB61)-12)/12))),0))</f>
        <v>1</v>
      </c>
      <c r="G11" s="9">
        <f>IF(IF(('Model inputs'!G17-'Model inputs'!AB61)&lt;1="",FALSE,('Model inputs'!G17-'Model inputs'!AB61)&lt;1),0,ROUND(IF(IF(('Model inputs'!G17-'Model inputs'!AB61)&lt;=3="",FALSE,('Model inputs'!G17-'Model inputs'!AB61)&lt;=3),IF('Model inputs'!AB53="","",'Model inputs'!AB53),IF(IF(('Model inputs'!G17-'Model inputs'!AB61)&lt;=6="",FALSE,('Model inputs'!G17-'Model inputs'!AB61)&lt;=6),'Model inputs'!AB53+('Model inputs'!AB59-'Model inputs'!AB53)*(('Model inputs'!G17-'Model inputs'!AB61)-3)/3,IF(IF(('Model inputs'!G17-'Model inputs'!AB61)&lt;=12="",FALSE,('Model inputs'!G17-'Model inputs'!AB61)&lt;=12),'Model inputs'!AB59+('Model inputs'!AB41-'Model inputs'!AB59)*(('Model inputs'!G17-'Model inputs'!AB61)-6)/6,'Model inputs'!AB41+('Model inputs'!AB47-'Model inputs'!AB41)*(('Model inputs'!G17-'Model inputs'!AB61)-12)/12))),0))</f>
        <v>2</v>
      </c>
      <c r="H11" s="9">
        <f>IF(IF(('Model inputs'!H17-'Model inputs'!AB61)&lt;1="",FALSE,('Model inputs'!H17-'Model inputs'!AB61)&lt;1),0,ROUND(IF(IF(('Model inputs'!H17-'Model inputs'!AB61)&lt;=3="",FALSE,('Model inputs'!H17-'Model inputs'!AB61)&lt;=3),IF('Model inputs'!AB53="","",'Model inputs'!AB53),IF(IF(('Model inputs'!H17-'Model inputs'!AB61)&lt;=6="",FALSE,('Model inputs'!H17-'Model inputs'!AB61)&lt;=6),'Model inputs'!AB53+('Model inputs'!AB59-'Model inputs'!AB53)*(('Model inputs'!H17-'Model inputs'!AB61)-3)/3,IF(IF(('Model inputs'!H17-'Model inputs'!AB61)&lt;=12="",FALSE,('Model inputs'!H17-'Model inputs'!AB61)&lt;=12),'Model inputs'!AB59+('Model inputs'!AB41-'Model inputs'!AB59)*(('Model inputs'!H17-'Model inputs'!AB61)-6)/6,'Model inputs'!AB41+('Model inputs'!AB47-'Model inputs'!AB41)*(('Model inputs'!H17-'Model inputs'!AB61)-12)/12))),0))</f>
        <v>3</v>
      </c>
      <c r="I11" s="9">
        <f>IF(IF(('Model inputs'!I17-'Model inputs'!AB61)&lt;1="",FALSE,('Model inputs'!I17-'Model inputs'!AB61)&lt;1),0,ROUND(IF(IF(('Model inputs'!I17-'Model inputs'!AB61)&lt;=3="",FALSE,('Model inputs'!I17-'Model inputs'!AB61)&lt;=3),IF('Model inputs'!AB53="","",'Model inputs'!AB53),IF(IF(('Model inputs'!I17-'Model inputs'!AB61)&lt;=6="",FALSE,('Model inputs'!I17-'Model inputs'!AB61)&lt;=6),'Model inputs'!AB53+('Model inputs'!AB59-'Model inputs'!AB53)*(('Model inputs'!I17-'Model inputs'!AB61)-3)/3,IF(IF(('Model inputs'!I17-'Model inputs'!AB61)&lt;=12="",FALSE,('Model inputs'!I17-'Model inputs'!AB61)&lt;=12),'Model inputs'!AB59+('Model inputs'!AB41-'Model inputs'!AB59)*(('Model inputs'!I17-'Model inputs'!AB61)-6)/6,'Model inputs'!AB41+('Model inputs'!AB47-'Model inputs'!AB41)*(('Model inputs'!I17-'Model inputs'!AB61)-12)/12))),0))</f>
        <v>4</v>
      </c>
      <c r="J11" s="9">
        <f>IF(IF(('Model inputs'!J17-'Model inputs'!AB61)&lt;1="",FALSE,('Model inputs'!J17-'Model inputs'!AB61)&lt;1),0,ROUND(IF(IF(('Model inputs'!J17-'Model inputs'!AB61)&lt;=3="",FALSE,('Model inputs'!J17-'Model inputs'!AB61)&lt;=3),IF('Model inputs'!AB53="","",'Model inputs'!AB53),IF(IF(('Model inputs'!J17-'Model inputs'!AB61)&lt;=6="",FALSE,('Model inputs'!J17-'Model inputs'!AB61)&lt;=6),'Model inputs'!AB53+('Model inputs'!AB59-'Model inputs'!AB53)*(('Model inputs'!J17-'Model inputs'!AB61)-3)/3,IF(IF(('Model inputs'!J17-'Model inputs'!AB61)&lt;=12="",FALSE,('Model inputs'!J17-'Model inputs'!AB61)&lt;=12),'Model inputs'!AB59+('Model inputs'!AB41-'Model inputs'!AB59)*(('Model inputs'!J17-'Model inputs'!AB61)-6)/6,'Model inputs'!AB41+('Model inputs'!AB47-'Model inputs'!AB41)*(('Model inputs'!J17-'Model inputs'!AB61)-12)/12))),0))</f>
        <v>5</v>
      </c>
      <c r="K11" s="9">
        <f>IF(IF(('Model inputs'!K17-'Model inputs'!AB61)&lt;1="",FALSE,('Model inputs'!K17-'Model inputs'!AB61)&lt;1),0,ROUND(IF(IF(('Model inputs'!K17-'Model inputs'!AB61)&lt;=3="",FALSE,('Model inputs'!K17-'Model inputs'!AB61)&lt;=3),IF('Model inputs'!AB53="","",'Model inputs'!AB53),IF(IF(('Model inputs'!K17-'Model inputs'!AB61)&lt;=6="",FALSE,('Model inputs'!K17-'Model inputs'!AB61)&lt;=6),'Model inputs'!AB53+('Model inputs'!AB59-'Model inputs'!AB53)*(('Model inputs'!K17-'Model inputs'!AB61)-3)/3,IF(IF(('Model inputs'!K17-'Model inputs'!AB61)&lt;=12="",FALSE,('Model inputs'!K17-'Model inputs'!AB61)&lt;=12),'Model inputs'!AB59+('Model inputs'!AB41-'Model inputs'!AB59)*(('Model inputs'!K17-'Model inputs'!AB61)-6)/6,'Model inputs'!AB41+('Model inputs'!AB47-'Model inputs'!AB41)*(('Model inputs'!K17-'Model inputs'!AB61)-12)/12))),0))</f>
        <v>6</v>
      </c>
      <c r="L11" s="9">
        <f>IF(IF(('Model inputs'!L17-'Model inputs'!AB61)&lt;1="",FALSE,('Model inputs'!L17-'Model inputs'!AB61)&lt;1),0,ROUND(IF(IF(('Model inputs'!L17-'Model inputs'!AB61)&lt;=3="",FALSE,('Model inputs'!L17-'Model inputs'!AB61)&lt;=3),IF('Model inputs'!AB53="","",'Model inputs'!AB53),IF(IF(('Model inputs'!L17-'Model inputs'!AB61)&lt;=6="",FALSE,('Model inputs'!L17-'Model inputs'!AB61)&lt;=6),'Model inputs'!AB53+('Model inputs'!AB59-'Model inputs'!AB53)*(('Model inputs'!L17-'Model inputs'!AB61)-3)/3,IF(IF(('Model inputs'!L17-'Model inputs'!AB61)&lt;=12="",FALSE,('Model inputs'!L17-'Model inputs'!AB61)&lt;=12),'Model inputs'!AB59+('Model inputs'!AB41-'Model inputs'!AB59)*(('Model inputs'!L17-'Model inputs'!AB61)-6)/6,'Model inputs'!AB41+('Model inputs'!AB47-'Model inputs'!AB41)*(('Model inputs'!L17-'Model inputs'!AB61)-12)/12))),0))</f>
        <v>7</v>
      </c>
      <c r="M11" s="9">
        <f>IF(IF(('Model inputs'!M17-'Model inputs'!AB61)&lt;1="",FALSE,('Model inputs'!M17-'Model inputs'!AB61)&lt;1),0,ROUND(IF(IF(('Model inputs'!M17-'Model inputs'!AB61)&lt;=3="",FALSE,('Model inputs'!M17-'Model inputs'!AB61)&lt;=3),IF('Model inputs'!AB53="","",'Model inputs'!AB53),IF(IF(('Model inputs'!M17-'Model inputs'!AB61)&lt;=6="",FALSE,('Model inputs'!M17-'Model inputs'!AB61)&lt;=6),'Model inputs'!AB53+('Model inputs'!AB59-'Model inputs'!AB53)*(('Model inputs'!M17-'Model inputs'!AB61)-3)/3,IF(IF(('Model inputs'!M17-'Model inputs'!AB61)&lt;=12="",FALSE,('Model inputs'!M17-'Model inputs'!AB61)&lt;=12),'Model inputs'!AB59+('Model inputs'!AB41-'Model inputs'!AB59)*(('Model inputs'!M17-'Model inputs'!AB61)-6)/6,'Model inputs'!AB41+('Model inputs'!AB47-'Model inputs'!AB41)*(('Model inputs'!M17-'Model inputs'!AB61)-12)/12))),0))</f>
        <v>8</v>
      </c>
      <c r="N11" s="9">
        <f>IF(IF(('Model inputs'!N17-'Model inputs'!AB61)&lt;1="",FALSE,('Model inputs'!N17-'Model inputs'!AB61)&lt;1),0,ROUND(IF(IF(('Model inputs'!N17-'Model inputs'!AB61)&lt;=3="",FALSE,('Model inputs'!N17-'Model inputs'!AB61)&lt;=3),IF('Model inputs'!AB53="","",'Model inputs'!AB53),IF(IF(('Model inputs'!N17-'Model inputs'!AB61)&lt;=6="",FALSE,('Model inputs'!N17-'Model inputs'!AB61)&lt;=6),'Model inputs'!AB53+('Model inputs'!AB59-'Model inputs'!AB53)*(('Model inputs'!N17-'Model inputs'!AB61)-3)/3,IF(IF(('Model inputs'!N17-'Model inputs'!AB61)&lt;=12="",FALSE,('Model inputs'!N17-'Model inputs'!AB61)&lt;=12),'Model inputs'!AB59+('Model inputs'!AB41-'Model inputs'!AB59)*(('Model inputs'!N17-'Model inputs'!AB61)-6)/6,'Model inputs'!AB41+('Model inputs'!AB47-'Model inputs'!AB41)*(('Model inputs'!N17-'Model inputs'!AB61)-12)/12))),0))</f>
        <v>9</v>
      </c>
      <c r="O11" s="9">
        <f>IF(IF(('Model inputs'!O17-'Model inputs'!AB61)&lt;1="",FALSE,('Model inputs'!O17-'Model inputs'!AB61)&lt;1),0,ROUND(IF(IF(('Model inputs'!O17-'Model inputs'!AB61)&lt;=3="",FALSE,('Model inputs'!O17-'Model inputs'!AB61)&lt;=3),IF('Model inputs'!AB53="","",'Model inputs'!AB53),IF(IF(('Model inputs'!O17-'Model inputs'!AB61)&lt;=6="",FALSE,('Model inputs'!O17-'Model inputs'!AB61)&lt;=6),'Model inputs'!AB53+('Model inputs'!AB59-'Model inputs'!AB53)*(('Model inputs'!O17-'Model inputs'!AB61)-3)/3,IF(IF(('Model inputs'!O17-'Model inputs'!AB61)&lt;=12="",FALSE,('Model inputs'!O17-'Model inputs'!AB61)&lt;=12),'Model inputs'!AB59+('Model inputs'!AB41-'Model inputs'!AB59)*(('Model inputs'!O17-'Model inputs'!AB61)-6)/6,'Model inputs'!AB41+('Model inputs'!AB47-'Model inputs'!AB41)*(('Model inputs'!O17-'Model inputs'!AB61)-12)/12))),0))</f>
        <v>11</v>
      </c>
      <c r="P11" s="9">
        <f>IF(IF(('Model inputs'!P17-'Model inputs'!AB61)&lt;1="",FALSE,('Model inputs'!P17-'Model inputs'!AB61)&lt;1),0,ROUND(IF(IF(('Model inputs'!P17-'Model inputs'!AB61)&lt;=3="",FALSE,('Model inputs'!P17-'Model inputs'!AB61)&lt;=3),IF('Model inputs'!AB53="","",'Model inputs'!AB53),IF(IF(('Model inputs'!P17-'Model inputs'!AB61)&lt;=6="",FALSE,('Model inputs'!P17-'Model inputs'!AB61)&lt;=6),'Model inputs'!AB53+('Model inputs'!AB59-'Model inputs'!AB53)*(('Model inputs'!P17-'Model inputs'!AB61)-3)/3,IF(IF(('Model inputs'!P17-'Model inputs'!AB61)&lt;=12="",FALSE,('Model inputs'!P17-'Model inputs'!AB61)&lt;=12),'Model inputs'!AB59+('Model inputs'!AB41-'Model inputs'!AB59)*(('Model inputs'!P17-'Model inputs'!AB61)-6)/6,'Model inputs'!AB41+('Model inputs'!AB47-'Model inputs'!AB41)*(('Model inputs'!P17-'Model inputs'!AB61)-12)/12))),0))</f>
        <v>12</v>
      </c>
      <c r="Q11" s="9">
        <f>IF(IF(('Model inputs'!Q17-'Model inputs'!AB61)&lt;1="",FALSE,('Model inputs'!Q17-'Model inputs'!AB61)&lt;1),0,ROUND(IF(IF(('Model inputs'!Q17-'Model inputs'!AB61)&lt;=3="",FALSE,('Model inputs'!Q17-'Model inputs'!AB61)&lt;=3),IF('Model inputs'!AB53="","",'Model inputs'!AB53),IF(IF(('Model inputs'!Q17-'Model inputs'!AB61)&lt;=6="",FALSE,('Model inputs'!Q17-'Model inputs'!AB61)&lt;=6),'Model inputs'!AB53+('Model inputs'!AB59-'Model inputs'!AB53)*(('Model inputs'!Q17-'Model inputs'!AB61)-3)/3,IF(IF(('Model inputs'!Q17-'Model inputs'!AB61)&lt;=12="",FALSE,('Model inputs'!Q17-'Model inputs'!AB61)&lt;=12),'Model inputs'!AB59+('Model inputs'!AB41-'Model inputs'!AB59)*(('Model inputs'!Q17-'Model inputs'!AB61)-6)/6,'Model inputs'!AB41+('Model inputs'!AB47-'Model inputs'!AB41)*(('Model inputs'!Q17-'Model inputs'!AB61)-12)/12))),0))</f>
        <v>14</v>
      </c>
      <c r="R11" s="9">
        <f>IF(IF(('Model inputs'!R17-'Model inputs'!AB61)&lt;1="",FALSE,('Model inputs'!R17-'Model inputs'!AB61)&lt;1),0,ROUND(IF(IF(('Model inputs'!R17-'Model inputs'!AB61)&lt;=3="",FALSE,('Model inputs'!R17-'Model inputs'!AB61)&lt;=3),IF('Model inputs'!AB53="","",'Model inputs'!AB53),IF(IF(('Model inputs'!R17-'Model inputs'!AB61)&lt;=6="",FALSE,('Model inputs'!R17-'Model inputs'!AB61)&lt;=6),'Model inputs'!AB53+('Model inputs'!AB59-'Model inputs'!AB53)*(('Model inputs'!R17-'Model inputs'!AB61)-3)/3,IF(IF(('Model inputs'!R17-'Model inputs'!AB61)&lt;=12="",FALSE,('Model inputs'!R17-'Model inputs'!AB61)&lt;=12),'Model inputs'!AB59+('Model inputs'!AB41-'Model inputs'!AB59)*(('Model inputs'!R17-'Model inputs'!AB61)-6)/6,'Model inputs'!AB41+('Model inputs'!AB47-'Model inputs'!AB41)*(('Model inputs'!R17-'Model inputs'!AB61)-12)/12))),0))</f>
        <v>15</v>
      </c>
      <c r="S11" s="9">
        <f>IF(IF(('Model inputs'!S17-'Model inputs'!AB61)&lt;1="",FALSE,('Model inputs'!S17-'Model inputs'!AB61)&lt;1),0,ROUND(IF(IF(('Model inputs'!S17-'Model inputs'!AB61)&lt;=3="",FALSE,('Model inputs'!S17-'Model inputs'!AB61)&lt;=3),IF('Model inputs'!AB53="","",'Model inputs'!AB53),IF(IF(('Model inputs'!S17-'Model inputs'!AB61)&lt;=6="",FALSE,('Model inputs'!S17-'Model inputs'!AB61)&lt;=6),'Model inputs'!AB53+('Model inputs'!AB59-'Model inputs'!AB53)*(('Model inputs'!S17-'Model inputs'!AB61)-3)/3,IF(IF(('Model inputs'!S17-'Model inputs'!AB61)&lt;=12="",FALSE,('Model inputs'!S17-'Model inputs'!AB61)&lt;=12),'Model inputs'!AB59+('Model inputs'!AB41-'Model inputs'!AB59)*(('Model inputs'!S17-'Model inputs'!AB61)-6)/6,'Model inputs'!AB41+('Model inputs'!AB47-'Model inputs'!AB41)*(('Model inputs'!S17-'Model inputs'!AB61)-12)/12))),0))</f>
        <v>17</v>
      </c>
      <c r="T11" s="9">
        <f>IF(IF(('Model inputs'!T17-'Model inputs'!AB61)&lt;1="",FALSE,('Model inputs'!T17-'Model inputs'!AB61)&lt;1),0,ROUND(IF(IF(('Model inputs'!T17-'Model inputs'!AB61)&lt;=3="",FALSE,('Model inputs'!T17-'Model inputs'!AB61)&lt;=3),IF('Model inputs'!AB53="","",'Model inputs'!AB53),IF(IF(('Model inputs'!T17-'Model inputs'!AB61)&lt;=6="",FALSE,('Model inputs'!T17-'Model inputs'!AB61)&lt;=6),'Model inputs'!AB53+('Model inputs'!AB59-'Model inputs'!AB53)*(('Model inputs'!T17-'Model inputs'!AB61)-3)/3,IF(IF(('Model inputs'!T17-'Model inputs'!AB61)&lt;=12="",FALSE,('Model inputs'!T17-'Model inputs'!AB61)&lt;=12),'Model inputs'!AB59+('Model inputs'!AB41-'Model inputs'!AB59)*(('Model inputs'!T17-'Model inputs'!AB61)-6)/6,'Model inputs'!AB41+('Model inputs'!AB47-'Model inputs'!AB41)*(('Model inputs'!T17-'Model inputs'!AB61)-12)/12))),0))</f>
        <v>18</v>
      </c>
      <c r="U11" s="9">
        <f>IF(IF(('Model inputs'!U17-'Model inputs'!AB61)&lt;1="",FALSE,('Model inputs'!U17-'Model inputs'!AB61)&lt;1),0,ROUND(IF(IF(('Model inputs'!U17-'Model inputs'!AB61)&lt;=3="",FALSE,('Model inputs'!U17-'Model inputs'!AB61)&lt;=3),IF('Model inputs'!AB53="","",'Model inputs'!AB53),IF(IF(('Model inputs'!U17-'Model inputs'!AB61)&lt;=6="",FALSE,('Model inputs'!U17-'Model inputs'!AB61)&lt;=6),'Model inputs'!AB53+('Model inputs'!AB59-'Model inputs'!AB53)*(('Model inputs'!U17-'Model inputs'!AB61)-3)/3,IF(IF(('Model inputs'!U17-'Model inputs'!AB61)&lt;=12="",FALSE,('Model inputs'!U17-'Model inputs'!AB61)&lt;=12),'Model inputs'!AB59+('Model inputs'!AB41-'Model inputs'!AB59)*(('Model inputs'!U17-'Model inputs'!AB61)-6)/6,'Model inputs'!AB41+('Model inputs'!AB47-'Model inputs'!AB41)*(('Model inputs'!U17-'Model inputs'!AB61)-12)/12))),0))</f>
        <v>19</v>
      </c>
      <c r="V11" s="9">
        <f>IF(IF(('Model inputs'!V17-'Model inputs'!AB61)&lt;1="",FALSE,('Model inputs'!V17-'Model inputs'!AB61)&lt;1),0,ROUND(IF(IF(('Model inputs'!V17-'Model inputs'!AB61)&lt;=3="",FALSE,('Model inputs'!V17-'Model inputs'!AB61)&lt;=3),IF('Model inputs'!AB53="","",'Model inputs'!AB53),IF(IF(('Model inputs'!V17-'Model inputs'!AB61)&lt;=6="",FALSE,('Model inputs'!V17-'Model inputs'!AB61)&lt;=6),'Model inputs'!AB53+('Model inputs'!AB59-'Model inputs'!AB53)*(('Model inputs'!V17-'Model inputs'!AB61)-3)/3,IF(IF(('Model inputs'!V17-'Model inputs'!AB61)&lt;=12="",FALSE,('Model inputs'!V17-'Model inputs'!AB61)&lt;=12),'Model inputs'!AB59+('Model inputs'!AB41-'Model inputs'!AB59)*(('Model inputs'!V17-'Model inputs'!AB61)-6)/6,'Model inputs'!AB41+('Model inputs'!AB47-'Model inputs'!AB41)*(('Model inputs'!V17-'Model inputs'!AB61)-12)/12))),0))</f>
        <v>21</v>
      </c>
      <c r="W11" s="9">
        <f>IF(IF(('Model inputs'!W17-'Model inputs'!AB61)&lt;1="",FALSE,('Model inputs'!W17-'Model inputs'!AB61)&lt;1),0,ROUND(IF(IF(('Model inputs'!W17-'Model inputs'!AB61)&lt;=3="",FALSE,('Model inputs'!W17-'Model inputs'!AB61)&lt;=3),IF('Model inputs'!AB53="","",'Model inputs'!AB53),IF(IF(('Model inputs'!W17-'Model inputs'!AB61)&lt;=6="",FALSE,('Model inputs'!W17-'Model inputs'!AB61)&lt;=6),'Model inputs'!AB53+('Model inputs'!AB59-'Model inputs'!AB53)*(('Model inputs'!W17-'Model inputs'!AB61)-3)/3,IF(IF(('Model inputs'!W17-'Model inputs'!AB61)&lt;=12="",FALSE,('Model inputs'!W17-'Model inputs'!AB61)&lt;=12),'Model inputs'!AB59+('Model inputs'!AB41-'Model inputs'!AB59)*(('Model inputs'!W17-'Model inputs'!AB61)-6)/6,'Model inputs'!AB41+('Model inputs'!AB47-'Model inputs'!AB41)*(('Model inputs'!W17-'Model inputs'!AB61)-12)/12))),0))</f>
        <v>22</v>
      </c>
      <c r="X11" s="9">
        <f>IF(IF(('Model inputs'!X17-'Model inputs'!AB61)&lt;1="",FALSE,('Model inputs'!X17-'Model inputs'!AB61)&lt;1),0,ROUND(IF(IF(('Model inputs'!X17-'Model inputs'!AB61)&lt;=3="",FALSE,('Model inputs'!X17-'Model inputs'!AB61)&lt;=3),IF('Model inputs'!AB53="","",'Model inputs'!AB53),IF(IF(('Model inputs'!X17-'Model inputs'!AB61)&lt;=6="",FALSE,('Model inputs'!X17-'Model inputs'!AB61)&lt;=6),'Model inputs'!AB53+('Model inputs'!AB59-'Model inputs'!AB53)*(('Model inputs'!X17-'Model inputs'!AB61)-3)/3,IF(IF(('Model inputs'!X17-'Model inputs'!AB61)&lt;=12="",FALSE,('Model inputs'!X17-'Model inputs'!AB61)&lt;=12),'Model inputs'!AB59+('Model inputs'!AB41-'Model inputs'!AB59)*(('Model inputs'!X17-'Model inputs'!AB61)-6)/6,'Model inputs'!AB41+('Model inputs'!AB47-'Model inputs'!AB41)*(('Model inputs'!X17-'Model inputs'!AB61)-12)/12))),0))</f>
        <v>24</v>
      </c>
      <c r="Y11" s="9">
        <f>IF(IF(('Model inputs'!Y17-'Model inputs'!AB61)&lt;1="",FALSE,('Model inputs'!Y17-'Model inputs'!AB61)&lt;1),0,ROUND(IF(IF(('Model inputs'!Y17-'Model inputs'!AB61)&lt;=3="",FALSE,('Model inputs'!Y17-'Model inputs'!AB61)&lt;=3),IF('Model inputs'!AB53="","",'Model inputs'!AB53),IF(IF(('Model inputs'!Y17-'Model inputs'!AB61)&lt;=6="",FALSE,('Model inputs'!Y17-'Model inputs'!AB61)&lt;=6),'Model inputs'!AB53+('Model inputs'!AB59-'Model inputs'!AB53)*(('Model inputs'!Y17-'Model inputs'!AB61)-3)/3,IF(IF(('Model inputs'!Y17-'Model inputs'!AB61)&lt;=12="",FALSE,('Model inputs'!Y17-'Model inputs'!AB61)&lt;=12),'Model inputs'!AB59+('Model inputs'!AB41-'Model inputs'!AB59)*(('Model inputs'!Y17-'Model inputs'!AB61)-6)/6,'Model inputs'!AB41+('Model inputs'!AB47-'Model inputs'!AB41)*(('Model inputs'!Y17-'Model inputs'!AB61)-12)/12))),0))</f>
        <v>25</v>
      </c>
    </row>
    <row r="12">
      <c r="A12" t="inlineStr" s="15">
        <is>
          <t xml:space="preserve">Ending cash · Downside</t>
        </is>
      </c>
      <c r="B12" s="10">
        <f>IF(IF(IF(IF(ISERROR('Model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inputs'!AA12))="",0,IF(IF(IF(ISERROR('Model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inputs'!AA12)))+'Model inputs'!B18</f>
        <v>22884.8</v>
      </c>
      <c r="C12" s="10">
        <f>IF(IF(IF(IF(ISERROR('Model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inputs'!AB26),IF('Model inputs'!B12="","",'Model inputs'!B12))="",0,IF(IF(IF(ISERROR('Model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inputs'!AB26),IF('Model inputs'!B12="","",'Model inputs'!B12)))+'Model inputs'!C18</f>
        <v>20769.6</v>
      </c>
      <c r="D12" s="10">
        <f>IF(IF(IF(IF(ISERROR('Model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inputs'!AB26),IF('Model inputs'!C12="","",'Model inputs'!C12))="",0,IF(IF(IF(ISERROR('Model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inputs'!AB26),IF('Model inputs'!C12="","",'Model inputs'!C12)))+'Model inputs'!D18</f>
        <v>18654.399999999998</v>
      </c>
      <c r="E12" s="10">
        <f>IF(IF(IF(IF(ISERROR('Model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inputs'!AB26),IF('Model inputs'!D12="","",'Model inputs'!D12))="",0,IF(IF(IF(ISERROR('Model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inputs'!AB26),IF('Model inputs'!D12="","",'Model inputs'!D12)))+'Model inputs'!E18</f>
        <v>16539.199999999997</v>
      </c>
      <c r="F12" s="10">
        <f>IF(IF(IF(IF(ISERROR('Model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inputs'!AB26),IF('Model inputs'!E12="","",'Model inputs'!E12))="",0,IF(IF(IF(ISERROR('Model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inputs'!AB26),IF('Model inputs'!E12="","",'Model inputs'!E12)))+'Model inputs'!F18</f>
        <v>14423.999999999996</v>
      </c>
      <c r="G12" s="10">
        <f>IF(IF(IF(IF(ISERROR('Model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inputs'!AB26),IF('Model inputs'!F12="","",'Model inputs'!F12))="",0,IF(IF(IF(ISERROR('Model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inputs'!AB26),IF('Model inputs'!F12="","",'Model inputs'!F12)))+'Model inputs'!G18</f>
        <v>12308.799999999996</v>
      </c>
      <c r="H12" s="10">
        <f>IF(IF(IF(IF(ISERROR('Model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inputs'!AB26),IF('Model inputs'!G12="","",'Model inputs'!G12))="",0,IF(IF(IF(ISERROR('Model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inputs'!AB26),IF('Model inputs'!G12="","",'Model inputs'!G12)))+'Model inputs'!H18</f>
        <v>10267.119999999995</v>
      </c>
      <c r="I12" s="10">
        <f>IF(IF(IF(IF(ISERROR('Model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inputs'!AB26),IF('Model inputs'!H12="","",'Model inputs'!H12))="",0,IF(IF(IF(ISERROR('Model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inputs'!AB26),IF('Model inputs'!H12="","",'Model inputs'!H12)))+'Model inputs'!I18</f>
        <v>8349.999999999996</v>
      </c>
      <c r="J12" s="10">
        <f>IF(IF(IF(IF(ISERROR('Model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inputs'!AB26),IF('Model inputs'!I12="","",'Model inputs'!I12))="",0,IF(IF(IF(ISERROR('Model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inputs'!AB26),IF('Model inputs'!I12="","",'Model inputs'!I12)))+'Model inputs'!J18</f>
        <v>6506.399999999996</v>
      </c>
      <c r="K12" s="10">
        <f>IF(IF(IF(IF(ISERROR('Model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inputs'!AB26),IF('Model inputs'!J12="","",'Model inputs'!J12))="",0,IF(IF(IF(ISERROR('Model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inputs'!AB26),IF('Model inputs'!J12="","",'Model inputs'!J12)))+'Model inputs'!K18</f>
        <v>4736.319999999996</v>
      </c>
      <c r="L12" s="10">
        <f>IF(IF(IF(IF(ISERROR('Model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inputs'!AB26),IF('Model inputs'!K12="","",'Model inputs'!K12))="",0,IF(IF(IF(ISERROR('Model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inputs'!AB26),IF('Model inputs'!K12="","",'Model inputs'!K12)))+'Model inputs'!L18</f>
        <v>3090.799999999996</v>
      </c>
      <c r="M12" s="10">
        <f>IF(IF(IF(IF(ISERROR('Model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inputs'!AB26),IF('Model inputs'!L12="","",'Model inputs'!L12))="",0,IF(IF(IF(ISERROR('Model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inputs'!AB26),IF('Model inputs'!L12="","",'Model inputs'!L12)))+'Model inputs'!M18</f>
        <v>1518.7999999999959</v>
      </c>
      <c r="N12" s="10">
        <f>IF(IF(IF(IF(ISERROR('Model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inputs'!AB26),IF('Model inputs'!M12="","",'Model inputs'!M12))="",0,IF(IF(IF(ISERROR('Model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inputs'!AB26),IF('Model inputs'!M12="","",'Model inputs'!M12)))+'Model inputs'!N18</f>
        <v>20.319999999995844</v>
      </c>
      <c r="O12" s="10">
        <f>IF(IF(IF(IF(ISERROR('Model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inputs'!AB26),IF('Model inputs'!N12="","",'Model inputs'!N12))="",0,IF(IF(IF(ISERROR('Model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inputs'!AB26),IF('Model inputs'!N12="","",'Model inputs'!N12)))+'Model inputs'!O18</f>
        <v>-1353.6000000000045</v>
      </c>
      <c r="P12" s="10">
        <f>IF(IF(IF(IF(ISERROR('Model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inputs'!AB26),IF('Model inputs'!O12="","",'Model inputs'!O12))="",0,IF(IF(IF(ISERROR('Model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inputs'!AB26),IF('Model inputs'!O12="","",'Model inputs'!O12)))+'Model inputs'!P18</f>
        <v>-2654.0000000000045</v>
      </c>
      <c r="Q12" s="10">
        <f>IF(IF(IF(IF(ISERROR('Model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inputs'!AB26),IF('Model inputs'!P12="","",'Model inputs'!P12))="",0,IF(IF(IF(ISERROR('Model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inputs'!AB26),IF('Model inputs'!P12="","",'Model inputs'!P12)))+'Model inputs'!Q18</f>
        <v>-3793.0800000000045</v>
      </c>
      <c r="R12" s="10">
        <f>IF(IF(IF(IF(ISERROR('Model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inputs'!AB26),IF('Model inputs'!Q12="","",'Model inputs'!Q12))="",0,IF(IF(IF(ISERROR('Model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inputs'!AB26),IF('Model inputs'!Q12="","",'Model inputs'!Q12)))+'Model inputs'!R18</f>
        <v>-4858.640000000005</v>
      </c>
      <c r="S12" s="10">
        <f>IF(IF(IF(IF(ISERROR('Model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inputs'!AB26),IF('Model inputs'!R12="","",'Model inputs'!R12))="",0,IF(IF(IF(ISERROR('Model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inputs'!AB26),IF('Model inputs'!R12="","",'Model inputs'!R12)))+'Model inputs'!S18</f>
        <v>-5762.880000000005</v>
      </c>
      <c r="T12" s="10">
        <f>IF(IF(IF(IF(ISERROR('Model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inputs'!AB26),IF('Model inputs'!S12="","",'Model inputs'!S12))="",0,IF(IF(IF(ISERROR('Model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inputs'!AB26),IF('Model inputs'!S12="","",'Model inputs'!S12)))+'Model inputs'!T18</f>
        <v>-6593.600000000004</v>
      </c>
      <c r="U12" s="10">
        <f>IF(IF(IF(IF(ISERROR('Model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inputs'!AB26),IF('Model inputs'!T12="","",'Model inputs'!T12))="",0,IF(IF(IF(ISERROR('Model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inputs'!AB26),IF('Model inputs'!T12="","",'Model inputs'!T12)))+'Model inputs'!U18</f>
        <v>-7263.000000000004</v>
      </c>
      <c r="V12" s="10">
        <f>IF(IF(IF(IF(ISERROR('Model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inputs'!AB26),IF('Model inputs'!U12="","",'Model inputs'!U12))="",0,IF(IF(IF(ISERROR('Model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inputs'!AB26),IF('Model inputs'!U12="","",'Model inputs'!U12)))+'Model inputs'!V18</f>
        <v>-7734.320000000003</v>
      </c>
      <c r="W12" s="10">
        <f>IF(IF(IF(IF(ISERROR('Model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inputs'!AB26),IF('Model inputs'!V12="","",'Model inputs'!V12))="",0,IF(IF(IF(ISERROR('Model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inputs'!AB26),IF('Model inputs'!V12="","",'Model inputs'!V12)))+'Model inputs'!W18</f>
        <v>-8132.1200000000035</v>
      </c>
      <c r="X12" s="10">
        <f>IF(IF(IF(IF(ISERROR('Model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inputs'!AB26),IF('Model inputs'!W12="","",'Model inputs'!W12))="",0,IF(IF(IF(ISERROR('Model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inputs'!AB26),IF('Model inputs'!W12="","",'Model inputs'!W12)))+'Model inputs'!X18</f>
        <v>-8368.600000000002</v>
      </c>
      <c r="Y12" s="10">
        <f>IF(IF(IF(IF(ISERROR('Model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inputs'!AB26),IF('Model inputs'!X12="","",'Model inputs'!X12))="",0,IF(IF(IF(ISERROR('Model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inputs'!AB26),IF('Model inputs'!X12="","",'Model inputs'!X12)))+'Model inputs'!Y18</f>
        <v>-8531.560000000001</v>
      </c>
      <c r="Z12" s="10">
        <v>0</v>
      </c>
      <c r="AA12" s="10">
        <f>IF(IF(IF(IF(ISERROR('Model inputs'!AA16=1),'Model inputs'!AA16=1,IF('Model inputs'!AA16="","",'Model inputs'!AA16=1))="",FALSE,IF(ISERROR('Model inputs'!AA16=1),'Model inputs'!AA16=1,IF('Model inputs'!AA16="","",'Model inputs'!AA16=1))),IF('Model inputs'!AB26="","",'Model inputs'!AB26),IF('Model inputs'!Z12="","",'Model inputs'!Z12))="",0,IF(IF(IF(ISERROR('Model inputs'!AA16=1),'Model inputs'!AA16=1,IF('Model inputs'!AA16="","",'Model inputs'!AA16=1))="",FALSE,IF(ISERROR('Model inputs'!AA16=1),'Model inputs'!AA16=1,IF('Model inputs'!AA16="","",'Model inputs'!AA16=1))),IF('Model inputs'!AB26="","",'Model inputs'!AB26),IF('Model inputs'!Z12="","",'Model inputs'!Z12)))+'Model inputs'!AA18</f>
        <v>0</v>
      </c>
    </row>
    <row r="13">
      <c r="A13" t="inlineStr" s="15">
        <is>
          <t xml:space="preserve">Ending cash · Growth</t>
        </is>
      </c>
      <c r="B13" s="10">
        <f>IF(IF(IF(IF(ISERROR('Model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inputs'!AA13))="",0,IF(IF(IF(ISERROR('Model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inputs'!AA13)))+'Model inputs'!B19</f>
        <v>22884.8</v>
      </c>
      <c r="C13" s="10">
        <f>IF(IF(IF(IF(ISERROR('Model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inputs'!AB27),IF('Model inputs'!B13="","",'Model inputs'!B13))="",0,IF(IF(IF(ISERROR('Model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inputs'!AB27),IF('Model inputs'!B13="","",'Model inputs'!B13)))+'Model inputs'!C19</f>
        <v>20769.6</v>
      </c>
      <c r="D13" s="10">
        <f>IF(IF(IF(IF(ISERROR('Model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inputs'!AB27),IF('Model inputs'!C13="","",'Model inputs'!C13))="",0,IF(IF(IF(ISERROR('Model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inputs'!AB27),IF('Model inputs'!C13="","",'Model inputs'!C13)))+'Model inputs'!D19</f>
        <v>18654.399999999998</v>
      </c>
      <c r="E13" s="10">
        <f>IF(IF(IF(IF(ISERROR('Model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inputs'!AB27),IF('Model inputs'!D13="","",'Model inputs'!D13))="",0,IF(IF(IF(ISERROR('Model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inputs'!AB27),IF('Model inputs'!D13="","",'Model inputs'!D13)))+'Model inputs'!E19</f>
        <v>17033.695999999996</v>
      </c>
      <c r="F13" s="10">
        <f>IF(IF(IF(IF(ISERROR('Model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inputs'!AB27),IF('Model inputs'!E13="","",'Model inputs'!E13))="",0,IF(IF(IF(ISERROR('Model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inputs'!AB27),IF('Model inputs'!E13="","",'Model inputs'!E13)))+'Model inputs'!F19</f>
        <v>15708.239999999996</v>
      </c>
      <c r="G13" s="10">
        <f>IF(IF(IF(IF(ISERROR('Model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inputs'!AB27),IF('Model inputs'!F13="","",'Model inputs'!F13))="",0,IF(IF(IF(ISERROR('Model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inputs'!AB27),IF('Model inputs'!F13="","",'Model inputs'!F13)))+'Model inputs'!G19</f>
        <v>14877.279999999995</v>
      </c>
      <c r="H13" s="10">
        <f>IF(IF(IF(IF(ISERROR('Model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inputs'!AB27),IF('Model inputs'!G13="","",'Model inputs'!G13))="",0,IF(IF(IF(ISERROR('Model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inputs'!AB27),IF('Model inputs'!G13="","",'Model inputs'!G13)))+'Model inputs'!H19</f>
        <v>14614.627999999995</v>
      </c>
      <c r="I13" s="10">
        <f>IF(IF(IF(IF(ISERROR('Model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inputs'!AB27),IF('Model inputs'!H13="","",'Model inputs'!H13))="",0,IF(IF(IF(ISERROR('Model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inputs'!AB27),IF('Model inputs'!H13="","",'Model inputs'!H13)))+'Model inputs'!I19</f>
        <v>14920.283999999996</v>
      </c>
      <c r="J13" s="10">
        <f>IF(IF(IF(IF(ISERROR('Model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inputs'!AB27),IF('Model inputs'!I13="","",'Model inputs'!I13))="",0,IF(IF(IF(ISERROR('Model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inputs'!AB27),IF('Model inputs'!I13="","",'Model inputs'!I13)))+'Model inputs'!J19</f>
        <v>15868.059999999996</v>
      </c>
      <c r="K13" s="10">
        <f>IF(IF(IF(IF(ISERROR('Model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inputs'!AB27),IF('Model inputs'!J13="","",'Model inputs'!J13))="",0,IF(IF(IF(ISERROR('Model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inputs'!AB27),IF('Model inputs'!J13="","",'Model inputs'!J13)))+'Model inputs'!K19</f>
        <v>17384.143999999997</v>
      </c>
      <c r="L13" s="10">
        <f>IF(IF(IF(IF(ISERROR('Model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inputs'!AB27),IF('Model inputs'!K13="","",'Model inputs'!K13))="",0,IF(IF(IF(ISERROR('Model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inputs'!AB27),IF('Model inputs'!K13="","",'Model inputs'!K13)))+'Model inputs'!L19</f>
        <v>19468.535999999996</v>
      </c>
      <c r="M13" s="10">
        <f>IF(IF(IF(IF(ISERROR('Model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inputs'!AB27),IF('Model inputs'!L13="","",'Model inputs'!L13))="",0,IF(IF(IF(ISERROR('Model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inputs'!AB27),IF('Model inputs'!L13="","",'Model inputs'!L13)))+'Model inputs'!M19</f>
        <v>22121.235999999997</v>
      </c>
      <c r="N13" s="10">
        <f>IF(IF(IF(IF(ISERROR('Model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inputs'!AB27),IF('Model inputs'!M13="","",'Model inputs'!M13))="",0,IF(IF(IF(ISERROR('Model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inputs'!AB27),IF('Model inputs'!M13="","",'Model inputs'!M13)))+'Model inputs'!N19</f>
        <v>25416.055999999997</v>
      </c>
      <c r="O13" s="10">
        <f>IF(IF(IF(IF(ISERROR('Model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inputs'!AB27),IF('Model inputs'!N13="","",'Model inputs'!N13))="",0,IF(IF(IF(ISERROR('Model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inputs'!AB27),IF('Model inputs'!N13="","",'Model inputs'!N13)))+'Model inputs'!O19</f>
        <v>29699.867999999995</v>
      </c>
      <c r="P13" s="10">
        <f>IF(IF(IF(IF(ISERROR('Model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inputs'!AB27),IF('Model inputs'!O13="","",'Model inputs'!O13))="",0,IF(IF(IF(ISERROR('Model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inputs'!AB27),IF('Model inputs'!O13="","",'Model inputs'!O13)))+'Model inputs'!P19</f>
        <v>34625.799999999996</v>
      </c>
      <c r="Q13" s="10">
        <f>IF(IF(IF(IF(ISERROR('Model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inputs'!AB27),IF('Model inputs'!P13="","",'Model inputs'!P13))="",0,IF(IF(IF(ISERROR('Model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inputs'!AB27),IF('Model inputs'!P13="","",'Model inputs'!P13)))+'Model inputs'!Q19</f>
        <v>40540.723999999995</v>
      </c>
      <c r="R13" s="10">
        <f>IF(IF(IF(IF(ISERROR('Model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inputs'!AB27),IF('Model inputs'!Q13="","",'Model inputs'!Q13))="",0,IF(IF(IF(ISERROR('Model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inputs'!AB27),IF('Model inputs'!Q13="","",'Model inputs'!Q13)))+'Model inputs'!R19</f>
        <v>47097.768</v>
      </c>
      <c r="S13" s="10">
        <f>IF(IF(IF(IF(ISERROR('Model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inputs'!AB27),IF('Model inputs'!R13="","",'Model inputs'!R13))="",0,IF(IF(IF(ISERROR('Model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inputs'!AB27),IF('Model inputs'!R13="","",'Model inputs'!R13)))+'Model inputs'!S19</f>
        <v>54643.804</v>
      </c>
      <c r="T13" s="10">
        <f>IF(IF(IF(IF(ISERROR('Model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inputs'!AB27),IF('Model inputs'!S13="","",'Model inputs'!S13))="",0,IF(IF(IF(ISERROR('Model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inputs'!AB27),IF('Model inputs'!S13="","",'Model inputs'!S13)))+'Model inputs'!T19</f>
        <v>62831.95999999999</v>
      </c>
      <c r="U13" s="10">
        <f>IF(IF(IF(IF(ISERROR('Model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inputs'!AB27),IF('Model inputs'!T13="","",'Model inputs'!T13))="",0,IF(IF(IF(ISERROR('Model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inputs'!AB27),IF('Model inputs'!T13="","",'Model inputs'!T13)))+'Model inputs'!U19</f>
        <v>71662.23599999999</v>
      </c>
      <c r="V13" s="10">
        <f>IF(IF(IF(IF(ISERROR('Model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inputs'!AB27),IF('Model inputs'!U13="","",'Model inputs'!U13))="",0,IF(IF(IF(ISERROR('Model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inputs'!AB27),IF('Model inputs'!U13="","",'Model inputs'!U13)))+'Model inputs'!V19</f>
        <v>81481.50399999999</v>
      </c>
      <c r="W13" s="10">
        <f>IF(IF(IF(IF(ISERROR('Model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inputs'!AB27),IF('Model inputs'!V13="","",'Model inputs'!V13))="",0,IF(IF(IF(ISERROR('Model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inputs'!AB27),IF('Model inputs'!V13="","",'Model inputs'!V13)))+'Model inputs'!W19</f>
        <v>91942.89199999999</v>
      </c>
      <c r="X13" s="10">
        <f>IF(IF(IF(IF(ISERROR('Model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inputs'!AB27),IF('Model inputs'!W13="","",'Model inputs'!W13))="",0,IF(IF(IF(ISERROR('Model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inputs'!AB27),IF('Model inputs'!W13="","",'Model inputs'!W13)))+'Model inputs'!X19</f>
        <v>103393.272</v>
      </c>
      <c r="Y13" s="10">
        <f>IF(IF(IF(IF(ISERROR('Model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inputs'!AB27),IF('Model inputs'!X13="","",'Model inputs'!X13))="",0,IF(IF(IF(ISERROR('Model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inputs'!AB27),IF('Model inputs'!X13="","",'Model inputs'!X13)))+'Model inputs'!Y19</f>
        <v>115485.772</v>
      </c>
      <c r="Z13" s="10">
        <v>0</v>
      </c>
      <c r="AA13" s="10">
        <f>IF(IF(IF(IF(ISERROR('Model inputs'!AA17=1),'Model inputs'!AA17=1,IF('Model inputs'!AA17="","",'Model inputs'!AA17=1))="",FALSE,IF(ISERROR('Model inputs'!AA17=1),'Model inputs'!AA17=1,IF('Model inputs'!AA17="","",'Model inputs'!AA17=1))),IF('Model inputs'!AB27="","",'Model inputs'!AB27),IF('Model inputs'!Z13="","",'Model inputs'!Z13))="",0,IF(IF(IF(ISERROR('Model inputs'!AA17=1),'Model inputs'!AA17=1,IF('Model inputs'!AA17="","",'Model inputs'!AA17=1))="",FALSE,IF(ISERROR('Model inputs'!AA17=1),'Model inputs'!AA17=1,IF('Model inputs'!AA17="","",'Model inputs'!AA17=1))),IF('Model inputs'!AB27="","",'Model inputs'!AB27),IF('Model inputs'!Z13="","",'Model inputs'!Z13)))+'Model inputs'!AA19</f>
        <v>0</v>
      </c>
    </row>
    <row r="14">
      <c r="A14" t="inlineStr" s="15">
        <is>
          <t xml:space="preserve">Gross profit · Downside</t>
        </is>
      </c>
      <c r="B14" s="10">
        <f>'Model inputs'!B20-'Model inputs'!B28</f>
        <v>-15.2</v>
      </c>
      <c r="C14" s="10">
        <f>'Model inputs'!C20-'Model inputs'!C28</f>
        <v>-15.2</v>
      </c>
      <c r="D14" s="10">
        <f>'Model inputs'!D20-'Model inputs'!D28</f>
        <v>-15.2</v>
      </c>
      <c r="E14" s="10">
        <f>'Model inputs'!E20-'Model inputs'!E28</f>
        <v>-15.2</v>
      </c>
      <c r="F14" s="10">
        <f>'Model inputs'!F20-'Model inputs'!F28</f>
        <v>-15.2</v>
      </c>
      <c r="G14" s="10">
        <f>'Model inputs'!G20-'Model inputs'!G28</f>
        <v>-15.2</v>
      </c>
      <c r="H14" s="10">
        <f>'Model inputs'!H20-'Model inputs'!H28</f>
        <v>58.32000000000002</v>
      </c>
      <c r="I14" s="10">
        <f>'Model inputs'!I20-'Model inputs'!I28</f>
        <v>182.88</v>
      </c>
      <c r="J14" s="10">
        <f>'Model inputs'!J20-'Model inputs'!J28</f>
        <v>256.39999999999986</v>
      </c>
      <c r="K14" s="10">
        <f>'Model inputs'!K20-'Model inputs'!K28</f>
        <v>329.91999999999996</v>
      </c>
      <c r="L14" s="10">
        <f>'Model inputs'!L20-'Model inputs'!L28</f>
        <v>454.48</v>
      </c>
      <c r="M14" s="10">
        <f>'Model inputs'!M20-'Model inputs'!M28</f>
        <v>527.9999999999998</v>
      </c>
      <c r="N14" s="10">
        <f>'Model inputs'!N20-'Model inputs'!N28</f>
        <v>601.52</v>
      </c>
      <c r="O14" s="10">
        <f>'Model inputs'!O20-'Model inputs'!O28</f>
        <v>726.0799999999997</v>
      </c>
      <c r="P14" s="10">
        <f>'Model inputs'!P20-'Model inputs'!P28</f>
        <v>799.5999999999999</v>
      </c>
      <c r="Q14" s="10">
        <f>'Model inputs'!Q20-'Model inputs'!Q28</f>
        <v>960.9200000000001</v>
      </c>
      <c r="R14" s="10">
        <f>'Model inputs'!R20-'Model inputs'!R28</f>
        <v>1034.44</v>
      </c>
      <c r="S14" s="10">
        <f>'Model inputs'!S20-'Model inputs'!S28</f>
        <v>1195.7600000000007</v>
      </c>
      <c r="T14" s="10">
        <f>'Model inputs'!T20-'Model inputs'!T28</f>
        <v>1269.2800000000002</v>
      </c>
      <c r="U14" s="10">
        <f>'Model inputs'!U20-'Model inputs'!U28</f>
        <v>1430.6</v>
      </c>
      <c r="V14" s="10">
        <f>'Model inputs'!V20-'Model inputs'!V28</f>
        <v>1628.6800000000003</v>
      </c>
      <c r="W14" s="10">
        <f>'Model inputs'!W20-'Model inputs'!W28</f>
        <v>1702.1999999999998</v>
      </c>
      <c r="X14" s="10">
        <f>'Model inputs'!X20-'Model inputs'!X28</f>
        <v>1863.5200000000004</v>
      </c>
      <c r="Y14" s="10">
        <f>'Model inputs'!Y20-'Model inputs'!Y28</f>
        <v>1937.04</v>
      </c>
      <c r="Z14" s="10">
        <v>0</v>
      </c>
      <c r="AA14" s="10">
        <f>'Model inputs'!AA64-'Model inputs'!AA28</f>
        <v>0</v>
      </c>
    </row>
    <row r="15">
      <c r="A15" t="inlineStr" s="15">
        <is>
          <t xml:space="preserve">Gross profit · Growth</t>
        </is>
      </c>
      <c r="B15" s="10">
        <f>'Model inputs'!B23-'Model inputs'!B29</f>
        <v>-15.2</v>
      </c>
      <c r="C15" s="10">
        <f>'Model inputs'!C23-'Model inputs'!C29</f>
        <v>-15.2</v>
      </c>
      <c r="D15" s="10">
        <f>'Model inputs'!D23-'Model inputs'!D29</f>
        <v>-15.2</v>
      </c>
      <c r="E15" s="10">
        <f>'Model inputs'!E23-'Model inputs'!E29</f>
        <v>479.296</v>
      </c>
      <c r="F15" s="10">
        <f>'Model inputs'!F23-'Model inputs'!F29</f>
        <v>774.5440000000001</v>
      </c>
      <c r="G15" s="10">
        <f>'Model inputs'!G23-'Model inputs'!G29</f>
        <v>1269.04</v>
      </c>
      <c r="H15" s="10">
        <f>'Model inputs'!H23-'Model inputs'!H29</f>
        <v>1837.348</v>
      </c>
      <c r="I15" s="10">
        <f>'Model inputs'!I23-'Model inputs'!I29</f>
        <v>2405.656</v>
      </c>
      <c r="J15" s="10">
        <f>'Model inputs'!J23-'Model inputs'!J29</f>
        <v>3047.776</v>
      </c>
      <c r="K15" s="10">
        <f>'Model inputs'!K23-'Model inputs'!K29</f>
        <v>3616.084</v>
      </c>
      <c r="L15" s="10">
        <f>'Model inputs'!L23-'Model inputs'!L29</f>
        <v>4184.392</v>
      </c>
      <c r="M15" s="10">
        <f>'Model inputs'!M23-'Model inputs'!M29</f>
        <v>4752.7</v>
      </c>
      <c r="N15" s="10">
        <f>'Model inputs'!N23-'Model inputs'!N29</f>
        <v>5394.82</v>
      </c>
      <c r="O15" s="10">
        <f>'Model inputs'!O23-'Model inputs'!O29</f>
        <v>6383.812</v>
      </c>
      <c r="P15" s="10">
        <f>'Model inputs'!P23-'Model inputs'!P29</f>
        <v>7025.932</v>
      </c>
      <c r="Q15" s="10">
        <f>'Model inputs'!Q23-'Model inputs'!Q29</f>
        <v>8014.924</v>
      </c>
      <c r="R15" s="10">
        <f>'Model inputs'!R23-'Model inputs'!R29</f>
        <v>8657.044</v>
      </c>
      <c r="S15" s="10">
        <f>'Model inputs'!S23-'Model inputs'!S29</f>
        <v>9646.036</v>
      </c>
      <c r="T15" s="10">
        <f>'Model inputs'!T23-'Model inputs'!T29</f>
        <v>10288.155999999999</v>
      </c>
      <c r="U15" s="10">
        <f>'Model inputs'!U23-'Model inputs'!U29</f>
        <v>10930.276</v>
      </c>
      <c r="V15" s="10">
        <f>'Model inputs'!V23-'Model inputs'!V29</f>
        <v>11919.268</v>
      </c>
      <c r="W15" s="10">
        <f>'Model inputs'!W23-'Model inputs'!W29</f>
        <v>12561.387999999999</v>
      </c>
      <c r="X15" s="10">
        <f>'Model inputs'!X23-'Model inputs'!X29</f>
        <v>13550.38</v>
      </c>
      <c r="Y15" s="10">
        <f>'Model inputs'!Y23-'Model inputs'!Y29</f>
        <v>14192.5</v>
      </c>
      <c r="Z15" s="10">
        <v>0</v>
      </c>
      <c r="AA15" s="10">
        <f>'Model inputs'!AA67-'Model inputs'!AA29</f>
        <v>0</v>
      </c>
    </row>
    <row r="16">
      <c r="A16" t="inlineStr" s="15">
        <is>
          <t xml:space="preserve">Model month · Downside</t>
        </is>
      </c>
      <c r="B16" s="9">
        <f>IFERROR(DATEDIF(DATE(2026,11,1),DATE(2026,11,1),"M")+1,0)</f>
        <v>1</v>
      </c>
      <c r="C16" s="9">
        <f>IFERROR(DATEDIF(DATE(2026,11,1),DATE(2026,12,1),"M")+1,0)</f>
        <v>2</v>
      </c>
      <c r="D16" s="9">
        <f>IFERROR(DATEDIF(DATE(2026,11,1),DATE(2027,1,1),"M")+1,0)</f>
        <v>3</v>
      </c>
      <c r="E16" s="9">
        <f>IFERROR(DATEDIF(DATE(2026,11,1),DATE(2027,2,1),"M")+1,0)</f>
        <v>4</v>
      </c>
      <c r="F16" s="9">
        <f>IFERROR(DATEDIF(DATE(2026,11,1),DATE(2027,3,1),"M")+1,0)</f>
        <v>5</v>
      </c>
      <c r="G16" s="9">
        <f>IFERROR(DATEDIF(DATE(2026,11,1),DATE(2027,4,1),"M")+1,0)</f>
        <v>6</v>
      </c>
      <c r="H16" s="9">
        <f>IFERROR(DATEDIF(DATE(2026,11,1),DATE(2027,5,1),"M")+1,0)</f>
        <v>7</v>
      </c>
      <c r="I16" s="9">
        <f>IFERROR(DATEDIF(DATE(2026,11,1),DATE(2027,6,1),"M")+1,0)</f>
        <v>8</v>
      </c>
      <c r="J16" s="9">
        <f>IFERROR(DATEDIF(DATE(2026,11,1),DATE(2027,7,1),"M")+1,0)</f>
        <v>9</v>
      </c>
      <c r="K16" s="9">
        <f>IFERROR(DATEDIF(DATE(2026,11,1),DATE(2027,8,1),"M")+1,0)</f>
        <v>10</v>
      </c>
      <c r="L16" s="9">
        <f>IFERROR(DATEDIF(DATE(2026,11,1),DATE(2027,9,1),"M")+1,0)</f>
        <v>11</v>
      </c>
      <c r="M16" s="9">
        <f>IFERROR(DATEDIF(DATE(2026,11,1),DATE(2027,10,1),"M")+1,0)</f>
        <v>12</v>
      </c>
      <c r="N16" s="9">
        <f>IFERROR(DATEDIF(DATE(2026,11,1),DATE(2027,11,1),"M")+1,0)</f>
        <v>13</v>
      </c>
      <c r="O16" s="9">
        <f>IFERROR(DATEDIF(DATE(2026,11,1),DATE(2027,12,1),"M")+1,0)</f>
        <v>14</v>
      </c>
      <c r="P16" s="9">
        <f>IFERROR(DATEDIF(DATE(2026,11,1),DATE(2028,1,1),"M")+1,0)</f>
        <v>15</v>
      </c>
      <c r="Q16" s="9">
        <f>IFERROR(DATEDIF(DATE(2026,11,1),DATE(2028,2,1),"M")+1,0)</f>
        <v>16</v>
      </c>
      <c r="R16" s="9">
        <f>IFERROR(DATEDIF(DATE(2026,11,1),DATE(2028,3,1),"M")+1,0)</f>
        <v>17</v>
      </c>
      <c r="S16" s="9">
        <f>IFERROR(DATEDIF(DATE(2026,11,1),DATE(2028,4,1),"M")+1,0)</f>
        <v>18</v>
      </c>
      <c r="T16" s="9">
        <f>IFERROR(DATEDIF(DATE(2026,11,1),DATE(2028,5,1),"M")+1,0)</f>
        <v>19</v>
      </c>
      <c r="U16" s="9">
        <f>IFERROR(DATEDIF(DATE(2026,11,1),DATE(2028,6,1),"M")+1,0)</f>
        <v>20</v>
      </c>
      <c r="V16" s="9">
        <f>IFERROR(DATEDIF(DATE(2026,11,1),DATE(2028,7,1),"M")+1,0)</f>
        <v>21</v>
      </c>
      <c r="W16" s="9">
        <f>IFERROR(DATEDIF(DATE(2026,11,1),DATE(2028,8,1),"M")+1,0)</f>
        <v>22</v>
      </c>
      <c r="X16" s="9">
        <f>IFERROR(DATEDIF(DATE(2026,11,1),DATE(2028,9,1),"M")+1,0)</f>
        <v>23</v>
      </c>
      <c r="Y16" s="9">
        <f>IFERROR(DATEDIF(DATE(2026,11,1),DATE(2028,10,1),"M")+1,0)</f>
        <v>24</v>
      </c>
      <c r="Z16" s="9">
        <v>0</v>
      </c>
      <c r="AA16" s="9">
        <f>IFERROR(DATEDIF(DATE(2026,11,1),DATE(2026,10,1),"M")+1,0)</f>
        <v>0</v>
      </c>
    </row>
    <row r="17">
      <c r="A17" t="inlineStr" s="15">
        <is>
          <t xml:space="preserve">Model month · Growth</t>
        </is>
      </c>
      <c r="B17" s="9">
        <f>IFERROR(DATEDIF(DATE(2026,11,1),DATE(2026,11,1),"M")+1,0)</f>
        <v>1</v>
      </c>
      <c r="C17" s="9">
        <f>IFERROR(DATEDIF(DATE(2026,11,1),DATE(2026,12,1),"M")+1,0)</f>
        <v>2</v>
      </c>
      <c r="D17" s="9">
        <f>IFERROR(DATEDIF(DATE(2026,11,1),DATE(2027,1,1),"M")+1,0)</f>
        <v>3</v>
      </c>
      <c r="E17" s="9">
        <f>IFERROR(DATEDIF(DATE(2026,11,1),DATE(2027,2,1),"M")+1,0)</f>
        <v>4</v>
      </c>
      <c r="F17" s="9">
        <f>IFERROR(DATEDIF(DATE(2026,11,1),DATE(2027,3,1),"M")+1,0)</f>
        <v>5</v>
      </c>
      <c r="G17" s="9">
        <f>IFERROR(DATEDIF(DATE(2026,11,1),DATE(2027,4,1),"M")+1,0)</f>
        <v>6</v>
      </c>
      <c r="H17" s="9">
        <f>IFERROR(DATEDIF(DATE(2026,11,1),DATE(2027,5,1),"M")+1,0)</f>
        <v>7</v>
      </c>
      <c r="I17" s="9">
        <f>IFERROR(DATEDIF(DATE(2026,11,1),DATE(2027,6,1),"M")+1,0)</f>
        <v>8</v>
      </c>
      <c r="J17" s="9">
        <f>IFERROR(DATEDIF(DATE(2026,11,1),DATE(2027,7,1),"M")+1,0)</f>
        <v>9</v>
      </c>
      <c r="K17" s="9">
        <f>IFERROR(DATEDIF(DATE(2026,11,1),DATE(2027,8,1),"M")+1,0)</f>
        <v>10</v>
      </c>
      <c r="L17" s="9">
        <f>IFERROR(DATEDIF(DATE(2026,11,1),DATE(2027,9,1),"M")+1,0)</f>
        <v>11</v>
      </c>
      <c r="M17" s="9">
        <f>IFERROR(DATEDIF(DATE(2026,11,1),DATE(2027,10,1),"M")+1,0)</f>
        <v>12</v>
      </c>
      <c r="N17" s="9">
        <f>IFERROR(DATEDIF(DATE(2026,11,1),DATE(2027,11,1),"M")+1,0)</f>
        <v>13</v>
      </c>
      <c r="O17" s="9">
        <f>IFERROR(DATEDIF(DATE(2026,11,1),DATE(2027,12,1),"M")+1,0)</f>
        <v>14</v>
      </c>
      <c r="P17" s="9">
        <f>IFERROR(DATEDIF(DATE(2026,11,1),DATE(2028,1,1),"M")+1,0)</f>
        <v>15</v>
      </c>
      <c r="Q17" s="9">
        <f>IFERROR(DATEDIF(DATE(2026,11,1),DATE(2028,2,1),"M")+1,0)</f>
        <v>16</v>
      </c>
      <c r="R17" s="9">
        <f>IFERROR(DATEDIF(DATE(2026,11,1),DATE(2028,3,1),"M")+1,0)</f>
        <v>17</v>
      </c>
      <c r="S17" s="9">
        <f>IFERROR(DATEDIF(DATE(2026,11,1),DATE(2028,4,1),"M")+1,0)</f>
        <v>18</v>
      </c>
      <c r="T17" s="9">
        <f>IFERROR(DATEDIF(DATE(2026,11,1),DATE(2028,5,1),"M")+1,0)</f>
        <v>19</v>
      </c>
      <c r="U17" s="9">
        <f>IFERROR(DATEDIF(DATE(2026,11,1),DATE(2028,6,1),"M")+1,0)</f>
        <v>20</v>
      </c>
      <c r="V17" s="9">
        <f>IFERROR(DATEDIF(DATE(2026,11,1),DATE(2028,7,1),"M")+1,0)</f>
        <v>21</v>
      </c>
      <c r="W17" s="9">
        <f>IFERROR(DATEDIF(DATE(2026,11,1),DATE(2028,8,1),"M")+1,0)</f>
        <v>22</v>
      </c>
      <c r="X17" s="9">
        <f>IFERROR(DATEDIF(DATE(2026,11,1),DATE(2028,9,1),"M")+1,0)</f>
        <v>23</v>
      </c>
      <c r="Y17" s="9">
        <f>IFERROR(DATEDIF(DATE(2026,11,1),DATE(2028,10,1),"M")+1,0)</f>
        <v>24</v>
      </c>
      <c r="Z17" s="9">
        <v>0</v>
      </c>
      <c r="AA17" s="9">
        <f>IFERROR(DATEDIF(DATE(2026,11,1),DATE(2026,10,1),"M")+1,0)</f>
        <v>0</v>
      </c>
    </row>
    <row r="18">
      <c r="A18" t="inlineStr" s="15">
        <is>
          <t xml:space="preserve">Net cash flow · Downside</t>
        </is>
      </c>
      <c r="B18" s="10">
        <f>'Model inputs'!B14-'Model inputs'!B62</f>
        <v>-2115.2</v>
      </c>
      <c r="C18" s="10">
        <f>'Model inputs'!C14-'Model inputs'!C62</f>
        <v>-2115.2</v>
      </c>
      <c r="D18" s="10">
        <f>'Model inputs'!D14-'Model inputs'!D62</f>
        <v>-2115.2</v>
      </c>
      <c r="E18" s="10">
        <f>'Model inputs'!E14-'Model inputs'!E62</f>
        <v>-2115.2</v>
      </c>
      <c r="F18" s="10">
        <f>'Model inputs'!F14-'Model inputs'!F62</f>
        <v>-2115.2</v>
      </c>
      <c r="G18" s="10">
        <f>'Model inputs'!G14-'Model inputs'!G62</f>
        <v>-2115.2</v>
      </c>
      <c r="H18" s="10">
        <f>'Model inputs'!H14-'Model inputs'!H62</f>
        <v>-2041.68</v>
      </c>
      <c r="I18" s="10">
        <f>'Model inputs'!I14-'Model inputs'!I62</f>
        <v>-1917.12</v>
      </c>
      <c r="J18" s="10">
        <f>'Model inputs'!J14-'Model inputs'!J62</f>
        <v>-1843.6000000000001</v>
      </c>
      <c r="K18" s="10">
        <f>'Model inputs'!K14-'Model inputs'!K62</f>
        <v>-1770.08</v>
      </c>
      <c r="L18" s="10">
        <f>'Model inputs'!L14-'Model inputs'!L62</f>
        <v>-1645.52</v>
      </c>
      <c r="M18" s="10">
        <f>'Model inputs'!M14-'Model inputs'!M62</f>
        <v>-1572.0000000000002</v>
      </c>
      <c r="N18" s="10">
        <f>'Model inputs'!N14-'Model inputs'!N62</f>
        <v>-1498.48</v>
      </c>
      <c r="O18" s="10">
        <f>'Model inputs'!O14-'Model inputs'!O62</f>
        <v>-1373.9200000000003</v>
      </c>
      <c r="P18" s="10">
        <f>'Model inputs'!P14-'Model inputs'!P62</f>
        <v>-1300.4</v>
      </c>
      <c r="Q18" s="10">
        <f>'Model inputs'!Q14-'Model inputs'!Q62</f>
        <v>-1139.08</v>
      </c>
      <c r="R18" s="10">
        <f>'Model inputs'!R14-'Model inputs'!R62</f>
        <v>-1065.56</v>
      </c>
      <c r="S18" s="10">
        <f>'Model inputs'!S14-'Model inputs'!S62</f>
        <v>-904.2399999999993</v>
      </c>
      <c r="T18" s="10">
        <f>'Model inputs'!T14-'Model inputs'!T62</f>
        <v>-830.7199999999998</v>
      </c>
      <c r="U18" s="10">
        <f>'Model inputs'!U14-'Model inputs'!U62</f>
        <v>-669.4000000000001</v>
      </c>
      <c r="V18" s="10">
        <f>'Model inputs'!V14-'Model inputs'!V62</f>
        <v>-471.3199999999997</v>
      </c>
      <c r="W18" s="10">
        <f>'Model inputs'!W14-'Model inputs'!W62</f>
        <v>-397.8000000000002</v>
      </c>
      <c r="X18" s="10">
        <f>'Model inputs'!X14-'Model inputs'!X62</f>
        <v>-236.47999999999956</v>
      </c>
      <c r="Y18" s="10">
        <f>'Model inputs'!Y14-'Model inputs'!Y62</f>
        <v>-162.96000000000004</v>
      </c>
      <c r="Z18" s="10">
        <v>0</v>
      </c>
      <c r="AA18" s="10">
        <f>'Model inputs'!AA14-'Model inputs'!AA62</f>
        <v>0</v>
      </c>
    </row>
    <row r="19">
      <c r="A19" t="inlineStr" s="15">
        <is>
          <t xml:space="preserve">Net cash flow · Growth</t>
        </is>
      </c>
      <c r="B19" s="10">
        <f>'Model inputs'!B15-'Model inputs'!B63</f>
        <v>-2115.2</v>
      </c>
      <c r="C19" s="10">
        <f>'Model inputs'!C15-'Model inputs'!C63</f>
        <v>-2115.2</v>
      </c>
      <c r="D19" s="10">
        <f>'Model inputs'!D15-'Model inputs'!D63</f>
        <v>-2115.2</v>
      </c>
      <c r="E19" s="10">
        <f>'Model inputs'!E15-'Model inputs'!E63</f>
        <v>-1620.704</v>
      </c>
      <c r="F19" s="10">
        <f>'Model inputs'!F15-'Model inputs'!F63</f>
        <v>-1325.456</v>
      </c>
      <c r="G19" s="10">
        <f>'Model inputs'!G15-'Model inputs'!G63</f>
        <v>-830.96</v>
      </c>
      <c r="H19" s="10">
        <f>'Model inputs'!H15-'Model inputs'!H63</f>
        <v>-262.65200000000004</v>
      </c>
      <c r="I19" s="10">
        <f>'Model inputs'!I15-'Model inputs'!I63</f>
        <v>305.65599999999995</v>
      </c>
      <c r="J19" s="10">
        <f>'Model inputs'!J15-'Model inputs'!J63</f>
        <v>947.7759999999998</v>
      </c>
      <c r="K19" s="10">
        <f>'Model inputs'!K15-'Model inputs'!K63</f>
        <v>1516.0839999999998</v>
      </c>
      <c r="L19" s="10">
        <f>'Model inputs'!L15-'Model inputs'!L63</f>
        <v>2084.392</v>
      </c>
      <c r="M19" s="10">
        <f>'Model inputs'!M15-'Model inputs'!M63</f>
        <v>2652.7</v>
      </c>
      <c r="N19" s="10">
        <f>'Model inputs'!N15-'Model inputs'!N63</f>
        <v>3294.8199999999997</v>
      </c>
      <c r="O19" s="10">
        <f>'Model inputs'!O15-'Model inputs'!O63</f>
        <v>4283.812</v>
      </c>
      <c r="P19" s="10">
        <f>'Model inputs'!P15-'Model inputs'!P63</f>
        <v>4925.932</v>
      </c>
      <c r="Q19" s="10">
        <f>'Model inputs'!Q15-'Model inputs'!Q63</f>
        <v>5914.924</v>
      </c>
      <c r="R19" s="10">
        <f>'Model inputs'!R15-'Model inputs'!R63</f>
        <v>6557.044</v>
      </c>
      <c r="S19" s="10">
        <f>'Model inputs'!S15-'Model inputs'!S63</f>
        <v>7546.036</v>
      </c>
      <c r="T19" s="10">
        <f>'Model inputs'!T15-'Model inputs'!T63</f>
        <v>8188.155999999999</v>
      </c>
      <c r="U19" s="10">
        <f>'Model inputs'!U15-'Model inputs'!U63</f>
        <v>8830.276</v>
      </c>
      <c r="V19" s="10">
        <f>'Model inputs'!V15-'Model inputs'!V63</f>
        <v>9819.268</v>
      </c>
      <c r="W19" s="10">
        <f>'Model inputs'!W15-'Model inputs'!W63</f>
        <v>10461.387999999999</v>
      </c>
      <c r="X19" s="10">
        <f>'Model inputs'!X15-'Model inputs'!X63</f>
        <v>11450.38</v>
      </c>
      <c r="Y19" s="10">
        <f>'Model inputs'!Y15-'Model inputs'!Y63</f>
        <v>12092.5</v>
      </c>
      <c r="Z19" s="10">
        <v>0</v>
      </c>
      <c r="AA19" s="10">
        <f>'Model inputs'!AA15-'Model inputs'!AA63</f>
        <v>0</v>
      </c>
    </row>
    <row r="20">
      <c r="A20" t="inlineStr" s="15">
        <is>
          <t xml:space="preserve">Revenue</t>
        </is>
      </c>
      <c r="B20" s="17">
        <f>SUM('Model inputs'!B21,'Model inputs'!B22)</f>
        <v>0</v>
      </c>
      <c r="C20" s="17">
        <f>SUM('Model inputs'!C21,'Model inputs'!C22)</f>
        <v>0</v>
      </c>
      <c r="D20" s="17">
        <f>SUM('Model inputs'!D21,'Model inputs'!D22)</f>
        <v>0</v>
      </c>
      <c r="E20" s="17">
        <f>SUM('Model inputs'!E21,'Model inputs'!E22)</f>
        <v>0</v>
      </c>
      <c r="F20" s="17">
        <f>SUM('Model inputs'!F21,'Model inputs'!F22)</f>
        <v>0</v>
      </c>
      <c r="G20" s="17">
        <f>SUM('Model inputs'!G21,'Model inputs'!G22)</f>
        <v>0</v>
      </c>
      <c r="H20" s="17">
        <f>SUM('Model inputs'!H21,'Model inputs'!H22)</f>
        <v>198</v>
      </c>
      <c r="I20" s="17">
        <f>SUM('Model inputs'!I21,'Model inputs'!I22)</f>
        <v>696</v>
      </c>
      <c r="J20" s="17">
        <f>SUM('Model inputs'!J21,'Model inputs'!J22)</f>
        <v>894</v>
      </c>
      <c r="K20" s="17">
        <f>SUM('Model inputs'!K21,'Model inputs'!K22)</f>
        <v>1092</v>
      </c>
      <c r="L20" s="17">
        <f>SUM('Model inputs'!L21,'Model inputs'!L22)</f>
        <v>1590</v>
      </c>
      <c r="M20" s="17">
        <f>SUM('Model inputs'!M21,'Model inputs'!M22)</f>
        <v>1788</v>
      </c>
      <c r="N20" s="17">
        <f>SUM('Model inputs'!N21,'Model inputs'!N22)</f>
        <v>1986</v>
      </c>
      <c r="O20" s="17">
        <f>SUM('Model inputs'!O21,'Model inputs'!O22)</f>
        <v>2484</v>
      </c>
      <c r="P20" s="17">
        <f>SUM('Model inputs'!P21,'Model inputs'!P22)</f>
        <v>2682</v>
      </c>
      <c r="Q20" s="17">
        <f>SUM('Model inputs'!Q21,'Model inputs'!Q22)</f>
        <v>3279</v>
      </c>
      <c r="R20" s="17">
        <f>SUM('Model inputs'!R21,'Model inputs'!R22)</f>
        <v>3477</v>
      </c>
      <c r="S20" s="17">
        <f>SUM('Model inputs'!S21,'Model inputs'!S22)</f>
        <v>4074</v>
      </c>
      <c r="T20" s="17">
        <f>SUM('Model inputs'!T21,'Model inputs'!T22)</f>
        <v>4272</v>
      </c>
      <c r="U20" s="17">
        <f>SUM('Model inputs'!U21,'Model inputs'!U22)</f>
        <v>4869</v>
      </c>
      <c r="V20" s="17">
        <f>SUM('Model inputs'!V21,'Model inputs'!V22)</f>
        <v>5565</v>
      </c>
      <c r="W20" s="17">
        <f>SUM('Model inputs'!W21,'Model inputs'!W22)</f>
        <v>5763</v>
      </c>
      <c r="X20" s="17">
        <f>SUM('Model inputs'!X21,'Model inputs'!X22)</f>
        <v>6360</v>
      </c>
      <c r="Y20" s="17">
        <f>SUM('Model inputs'!Y21,'Model inputs'!Y22)</f>
        <v>6558</v>
      </c>
    </row>
    <row r="21" outlineLevel="1">
      <c r="A21" t="inlineStr" s="16">
        <is>
          <t xml:space="preserve">Revenue &gt; Starter</t>
        </is>
      </c>
      <c r="B21" s="10">
        <f>'Model inputs'!B7*'Model inputs'!AB71</f>
        <v>0</v>
      </c>
      <c r="C21" s="10">
        <f>'Model inputs'!C7*'Model inputs'!AB71</f>
        <v>0</v>
      </c>
      <c r="D21" s="10">
        <f>'Model inputs'!D7*'Model inputs'!AB71</f>
        <v>0</v>
      </c>
      <c r="E21" s="10">
        <f>'Model inputs'!E7*'Model inputs'!AB71</f>
        <v>0</v>
      </c>
      <c r="F21" s="10">
        <f>'Model inputs'!F7*'Model inputs'!AB71</f>
        <v>0</v>
      </c>
      <c r="G21" s="10">
        <f>'Model inputs'!G7*'Model inputs'!AB71</f>
        <v>0</v>
      </c>
      <c r="H21" s="10">
        <f>'Model inputs'!H7*'Model inputs'!AB71</f>
        <v>198</v>
      </c>
      <c r="I21" s="10">
        <f>'Model inputs'!I7*'Model inputs'!AB71</f>
        <v>297</v>
      </c>
      <c r="J21" s="10">
        <f>'Model inputs'!J7*'Model inputs'!AB71</f>
        <v>495</v>
      </c>
      <c r="K21" s="10">
        <f>'Model inputs'!K7*'Model inputs'!AB71</f>
        <v>693</v>
      </c>
      <c r="L21" s="10">
        <f>'Model inputs'!L7*'Model inputs'!AB71</f>
        <v>792</v>
      </c>
      <c r="M21" s="10">
        <f>'Model inputs'!M7*'Model inputs'!AB71</f>
        <v>990</v>
      </c>
      <c r="N21" s="10">
        <f>'Model inputs'!N7*'Model inputs'!AB71</f>
        <v>1188</v>
      </c>
      <c r="O21" s="10">
        <f>'Model inputs'!O7*'Model inputs'!AB71</f>
        <v>1287</v>
      </c>
      <c r="P21" s="10">
        <f>'Model inputs'!P7*'Model inputs'!AB71</f>
        <v>1485</v>
      </c>
      <c r="Q21" s="10">
        <f>'Model inputs'!Q7*'Model inputs'!AB71</f>
        <v>1683</v>
      </c>
      <c r="R21" s="10">
        <f>'Model inputs'!R7*'Model inputs'!AB71</f>
        <v>1881</v>
      </c>
      <c r="S21" s="10">
        <f>'Model inputs'!S7*'Model inputs'!AB71</f>
        <v>2079</v>
      </c>
      <c r="T21" s="10">
        <f>'Model inputs'!T7*'Model inputs'!AB71</f>
        <v>2277</v>
      </c>
      <c r="U21" s="10">
        <f>'Model inputs'!U7*'Model inputs'!AB71</f>
        <v>2475</v>
      </c>
      <c r="V21" s="10">
        <f>'Model inputs'!V7*'Model inputs'!AB71</f>
        <v>2772</v>
      </c>
      <c r="W21" s="10">
        <f>'Model inputs'!W7*'Model inputs'!AB71</f>
        <v>2970</v>
      </c>
      <c r="X21" s="10">
        <f>'Model inputs'!X7*'Model inputs'!AB71</f>
        <v>3168</v>
      </c>
      <c r="Y21" s="10">
        <f>'Model inputs'!Y7*'Model inputs'!AB71</f>
        <v>3366</v>
      </c>
    </row>
    <row r="22" outlineLevel="1">
      <c r="A22" t="inlineStr" s="16">
        <is>
          <t xml:space="preserve">Revenue &gt; Team</t>
        </is>
      </c>
      <c r="B22" s="10">
        <f>'Model inputs'!B8*'Model inputs'!AB72</f>
        <v>0</v>
      </c>
      <c r="C22" s="10">
        <f>'Model inputs'!C8*'Model inputs'!AB72</f>
        <v>0</v>
      </c>
      <c r="D22" s="10">
        <f>'Model inputs'!D8*'Model inputs'!AB72</f>
        <v>0</v>
      </c>
      <c r="E22" s="10">
        <f>'Model inputs'!E8*'Model inputs'!AB72</f>
        <v>0</v>
      </c>
      <c r="F22" s="10">
        <f>'Model inputs'!F8*'Model inputs'!AB72</f>
        <v>0</v>
      </c>
      <c r="G22" s="10">
        <f>'Model inputs'!G8*'Model inputs'!AB72</f>
        <v>0</v>
      </c>
      <c r="H22" s="10">
        <f>'Model inputs'!H8*'Model inputs'!AB72</f>
        <v>0</v>
      </c>
      <c r="I22" s="10">
        <f>'Model inputs'!I8*'Model inputs'!AB72</f>
        <v>399</v>
      </c>
      <c r="J22" s="10">
        <f>'Model inputs'!J8*'Model inputs'!AB72</f>
        <v>399</v>
      </c>
      <c r="K22" s="10">
        <f>'Model inputs'!K8*'Model inputs'!AB72</f>
        <v>399</v>
      </c>
      <c r="L22" s="10">
        <f>'Model inputs'!L8*'Model inputs'!AB72</f>
        <v>798</v>
      </c>
      <c r="M22" s="10">
        <f>'Model inputs'!M8*'Model inputs'!AB72</f>
        <v>798</v>
      </c>
      <c r="N22" s="10">
        <f>'Model inputs'!N8*'Model inputs'!AB72</f>
        <v>798</v>
      </c>
      <c r="O22" s="10">
        <f>'Model inputs'!O8*'Model inputs'!AB72</f>
        <v>1197</v>
      </c>
      <c r="P22" s="10">
        <f>'Model inputs'!P8*'Model inputs'!AB72</f>
        <v>1197</v>
      </c>
      <c r="Q22" s="10">
        <f>'Model inputs'!Q8*'Model inputs'!AB72</f>
        <v>1596</v>
      </c>
      <c r="R22" s="10">
        <f>'Model inputs'!R8*'Model inputs'!AB72</f>
        <v>1596</v>
      </c>
      <c r="S22" s="10">
        <f>'Model inputs'!S8*'Model inputs'!AB72</f>
        <v>1995</v>
      </c>
      <c r="T22" s="10">
        <f>'Model inputs'!T8*'Model inputs'!AB72</f>
        <v>1995</v>
      </c>
      <c r="U22" s="10">
        <f>'Model inputs'!U8*'Model inputs'!AB72</f>
        <v>2394</v>
      </c>
      <c r="V22" s="10">
        <f>'Model inputs'!V8*'Model inputs'!AB72</f>
        <v>2793</v>
      </c>
      <c r="W22" s="10">
        <f>'Model inputs'!W8*'Model inputs'!AB72</f>
        <v>2793</v>
      </c>
      <c r="X22" s="10">
        <f>'Model inputs'!X8*'Model inputs'!AB72</f>
        <v>3192</v>
      </c>
      <c r="Y22" s="10">
        <f>'Model inputs'!Y8*'Model inputs'!AB72</f>
        <v>3192</v>
      </c>
    </row>
    <row r="23">
      <c r="A23" t="inlineStr" s="15">
        <is>
          <t xml:space="preserve">Revenue</t>
        </is>
      </c>
      <c r="B23" s="17">
        <f>SUM('Model inputs'!B24,'Model inputs'!B25)</f>
        <v>0</v>
      </c>
      <c r="C23" s="17">
        <f>SUM('Model inputs'!C24,'Model inputs'!C25)</f>
        <v>0</v>
      </c>
      <c r="D23" s="17">
        <f>SUM('Model inputs'!D24,'Model inputs'!D25)</f>
        <v>0</v>
      </c>
      <c r="E23" s="17">
        <f>SUM('Model inputs'!E24,'Model inputs'!E25)</f>
        <v>696</v>
      </c>
      <c r="F23" s="17">
        <f>SUM('Model inputs'!F24,'Model inputs'!F25)</f>
        <v>1092</v>
      </c>
      <c r="G23" s="17">
        <f>SUM('Model inputs'!G24,'Model inputs'!G25)</f>
        <v>1788</v>
      </c>
      <c r="H23" s="17">
        <f>SUM('Model inputs'!H24,'Model inputs'!H25)</f>
        <v>2583</v>
      </c>
      <c r="I23" s="17">
        <f>SUM('Model inputs'!I24,'Model inputs'!I25)</f>
        <v>3378</v>
      </c>
      <c r="J23" s="17">
        <f>SUM('Model inputs'!J24,'Model inputs'!J25)</f>
        <v>4272</v>
      </c>
      <c r="K23" s="17">
        <f>SUM('Model inputs'!K24,'Model inputs'!K25)</f>
        <v>5067</v>
      </c>
      <c r="L23" s="17">
        <f>SUM('Model inputs'!L24,'Model inputs'!L25)</f>
        <v>5862</v>
      </c>
      <c r="M23" s="17">
        <f>SUM('Model inputs'!M24,'Model inputs'!M25)</f>
        <v>6657</v>
      </c>
      <c r="N23" s="17">
        <f>SUM('Model inputs'!N24,'Model inputs'!N25)</f>
        <v>7551</v>
      </c>
      <c r="O23" s="17">
        <f>SUM('Model inputs'!O24,'Model inputs'!O25)</f>
        <v>8943</v>
      </c>
      <c r="P23" s="17">
        <f>SUM('Model inputs'!P24,'Model inputs'!P25)</f>
        <v>9837</v>
      </c>
      <c r="Q23" s="17">
        <f>SUM('Model inputs'!Q24,'Model inputs'!Q25)</f>
        <v>11229</v>
      </c>
      <c r="R23" s="17">
        <f>SUM('Model inputs'!R24,'Model inputs'!R25)</f>
        <v>12123</v>
      </c>
      <c r="S23" s="17">
        <f>SUM('Model inputs'!S24,'Model inputs'!S25)</f>
        <v>13515</v>
      </c>
      <c r="T23" s="17">
        <f>SUM('Model inputs'!T24,'Model inputs'!T25)</f>
        <v>14409</v>
      </c>
      <c r="U23" s="17">
        <f>SUM('Model inputs'!U24,'Model inputs'!U25)</f>
        <v>15303</v>
      </c>
      <c r="V23" s="17">
        <f>SUM('Model inputs'!V24,'Model inputs'!V25)</f>
        <v>16695</v>
      </c>
      <c r="W23" s="17">
        <f>SUM('Model inputs'!W24,'Model inputs'!W25)</f>
        <v>17589</v>
      </c>
      <c r="X23" s="17">
        <f>SUM('Model inputs'!X24,'Model inputs'!X25)</f>
        <v>18981</v>
      </c>
      <c r="Y23" s="17">
        <f>SUM('Model inputs'!Y24,'Model inputs'!Y25)</f>
        <v>19875</v>
      </c>
    </row>
    <row r="24" outlineLevel="1">
      <c r="A24" t="inlineStr" s="16">
        <is>
          <t xml:space="preserve">Revenue &gt; Starter</t>
        </is>
      </c>
      <c r="B24" s="10">
        <f>'Model inputs'!B10*'Model inputs'!AB74</f>
        <v>0</v>
      </c>
      <c r="C24" s="10">
        <f>'Model inputs'!C10*'Model inputs'!AB74</f>
        <v>0</v>
      </c>
      <c r="D24" s="10">
        <f>'Model inputs'!D10*'Model inputs'!AB74</f>
        <v>0</v>
      </c>
      <c r="E24" s="10">
        <f>'Model inputs'!E10*'Model inputs'!AB74</f>
        <v>297</v>
      </c>
      <c r="F24" s="10">
        <f>'Model inputs'!F10*'Model inputs'!AB74</f>
        <v>693</v>
      </c>
      <c r="G24" s="10">
        <f>'Model inputs'!G10*'Model inputs'!AB74</f>
        <v>990</v>
      </c>
      <c r="H24" s="10">
        <f>'Model inputs'!H10*'Model inputs'!AB74</f>
        <v>1386</v>
      </c>
      <c r="I24" s="10">
        <f>'Model inputs'!I10*'Model inputs'!AB74</f>
        <v>1782</v>
      </c>
      <c r="J24" s="10">
        <f>'Model inputs'!J10*'Model inputs'!AB74</f>
        <v>2277</v>
      </c>
      <c r="K24" s="10">
        <f>'Model inputs'!K10*'Model inputs'!AB74</f>
        <v>2673</v>
      </c>
      <c r="L24" s="10">
        <f>'Model inputs'!L10*'Model inputs'!AB74</f>
        <v>3069</v>
      </c>
      <c r="M24" s="10">
        <f>'Model inputs'!M10*'Model inputs'!AB74</f>
        <v>3465</v>
      </c>
      <c r="N24" s="10">
        <f>'Model inputs'!N10*'Model inputs'!AB74</f>
        <v>3960</v>
      </c>
      <c r="O24" s="10">
        <f>'Model inputs'!O10*'Model inputs'!AB74</f>
        <v>4554</v>
      </c>
      <c r="P24" s="10">
        <f>'Model inputs'!P10*'Model inputs'!AB74</f>
        <v>5049</v>
      </c>
      <c r="Q24" s="10">
        <f>'Model inputs'!Q10*'Model inputs'!AB74</f>
        <v>5643</v>
      </c>
      <c r="R24" s="10">
        <f>'Model inputs'!R10*'Model inputs'!AB74</f>
        <v>6138</v>
      </c>
      <c r="S24" s="10">
        <f>'Model inputs'!S10*'Model inputs'!AB74</f>
        <v>6732</v>
      </c>
      <c r="T24" s="10">
        <f>'Model inputs'!T10*'Model inputs'!AB74</f>
        <v>7227</v>
      </c>
      <c r="U24" s="10">
        <f>'Model inputs'!U10*'Model inputs'!AB74</f>
        <v>7722</v>
      </c>
      <c r="V24" s="10">
        <f>'Model inputs'!V10*'Model inputs'!AB74</f>
        <v>8316</v>
      </c>
      <c r="W24" s="10">
        <f>'Model inputs'!W10*'Model inputs'!AB74</f>
        <v>8811</v>
      </c>
      <c r="X24" s="10">
        <f>'Model inputs'!X10*'Model inputs'!AB74</f>
        <v>9405</v>
      </c>
      <c r="Y24" s="10">
        <f>'Model inputs'!Y10*'Model inputs'!AB74</f>
        <v>9900</v>
      </c>
    </row>
    <row r="25" outlineLevel="1">
      <c r="A25" t="inlineStr" s="16">
        <is>
          <t xml:space="preserve">Revenue &gt; Team</t>
        </is>
      </c>
      <c r="B25" s="10">
        <f>'Model inputs'!B11*'Model inputs'!AB75</f>
        <v>0</v>
      </c>
      <c r="C25" s="10">
        <f>'Model inputs'!C11*'Model inputs'!AB75</f>
        <v>0</v>
      </c>
      <c r="D25" s="10">
        <f>'Model inputs'!D11*'Model inputs'!AB75</f>
        <v>0</v>
      </c>
      <c r="E25" s="10">
        <f>'Model inputs'!E11*'Model inputs'!AB75</f>
        <v>399</v>
      </c>
      <c r="F25" s="10">
        <f>'Model inputs'!F11*'Model inputs'!AB75</f>
        <v>399</v>
      </c>
      <c r="G25" s="10">
        <f>'Model inputs'!G11*'Model inputs'!AB75</f>
        <v>798</v>
      </c>
      <c r="H25" s="10">
        <f>'Model inputs'!H11*'Model inputs'!AB75</f>
        <v>1197</v>
      </c>
      <c r="I25" s="10">
        <f>'Model inputs'!I11*'Model inputs'!AB75</f>
        <v>1596</v>
      </c>
      <c r="J25" s="10">
        <f>'Model inputs'!J11*'Model inputs'!AB75</f>
        <v>1995</v>
      </c>
      <c r="K25" s="10">
        <f>'Model inputs'!K11*'Model inputs'!AB75</f>
        <v>2394</v>
      </c>
      <c r="L25" s="10">
        <f>'Model inputs'!L11*'Model inputs'!AB75</f>
        <v>2793</v>
      </c>
      <c r="M25" s="10">
        <f>'Model inputs'!M11*'Model inputs'!AB75</f>
        <v>3192</v>
      </c>
      <c r="N25" s="10">
        <f>'Model inputs'!N11*'Model inputs'!AB75</f>
        <v>3591</v>
      </c>
      <c r="O25" s="10">
        <f>'Model inputs'!O11*'Model inputs'!AB75</f>
        <v>4389</v>
      </c>
      <c r="P25" s="10">
        <f>'Model inputs'!P11*'Model inputs'!AB75</f>
        <v>4788</v>
      </c>
      <c r="Q25" s="10">
        <f>'Model inputs'!Q11*'Model inputs'!AB75</f>
        <v>5586</v>
      </c>
      <c r="R25" s="10">
        <f>'Model inputs'!R11*'Model inputs'!AB75</f>
        <v>5985</v>
      </c>
      <c r="S25" s="10">
        <f>'Model inputs'!S11*'Model inputs'!AB75</f>
        <v>6783</v>
      </c>
      <c r="T25" s="10">
        <f>'Model inputs'!T11*'Model inputs'!AB75</f>
        <v>7182</v>
      </c>
      <c r="U25" s="10">
        <f>'Model inputs'!U11*'Model inputs'!AB75</f>
        <v>7581</v>
      </c>
      <c r="V25" s="10">
        <f>'Model inputs'!V11*'Model inputs'!AB75</f>
        <v>8379</v>
      </c>
      <c r="W25" s="10">
        <f>'Model inputs'!W11*'Model inputs'!AB75</f>
        <v>8778</v>
      </c>
      <c r="X25" s="10">
        <f>'Model inputs'!X11*'Model inputs'!AB75</f>
        <v>9576</v>
      </c>
      <c r="Y25" s="10">
        <f>'Model inputs'!Y11*'Model inputs'!AB75</f>
        <v>9975</v>
      </c>
    </row>
    <row r="26">
      <c r="A26" t="inlineStr" s="15">
        <is>
          <t xml:space="preserve">Starting cash · Downside</t>
        </is>
      </c>
      <c r="AB26" s="10">
        <f>25000</f>
        <v>25000</v>
      </c>
    </row>
    <row r="27">
      <c r="A27" t="inlineStr" s="15">
        <is>
          <t xml:space="preserve">Starting cash · Growth</t>
        </is>
      </c>
      <c r="AB27" s="10">
        <f>25000</f>
        <v>25000</v>
      </c>
    </row>
    <row r="28">
      <c r="A28" t="inlineStr" s="15">
        <is>
          <t xml:space="preserve">COGS · Downside</t>
        </is>
      </c>
      <c r="B28" s="10">
        <f>'Model inputs'!B82+'Model inputs'!B76+'Model inputs'!B80</f>
        <v>15.2</v>
      </c>
      <c r="C28" s="10">
        <f>'Model inputs'!C82+'Model inputs'!C76+'Model inputs'!C80</f>
        <v>15.2</v>
      </c>
      <c r="D28" s="10">
        <f>'Model inputs'!D82+'Model inputs'!D76+'Model inputs'!D80</f>
        <v>15.2</v>
      </c>
      <c r="E28" s="10">
        <f>'Model inputs'!E82+'Model inputs'!E76+'Model inputs'!E80</f>
        <v>15.2</v>
      </c>
      <c r="F28" s="10">
        <f>'Model inputs'!F82+'Model inputs'!F76+'Model inputs'!F80</f>
        <v>15.2</v>
      </c>
      <c r="G28" s="10">
        <f>'Model inputs'!G82+'Model inputs'!G76+'Model inputs'!G80</f>
        <v>15.2</v>
      </c>
      <c r="H28" s="10">
        <f>'Model inputs'!H82+'Model inputs'!H76+'Model inputs'!H80</f>
        <v>139.67999999999998</v>
      </c>
      <c r="I28" s="10">
        <f>'Model inputs'!I82+'Model inputs'!I76+'Model inputs'!I80</f>
        <v>513.12</v>
      </c>
      <c r="J28" s="10">
        <f>'Model inputs'!J82+'Model inputs'!J76+'Model inputs'!J80</f>
        <v>637.6000000000001</v>
      </c>
      <c r="K28" s="10">
        <f>'Model inputs'!K82+'Model inputs'!K76+'Model inputs'!K80</f>
        <v>762.08</v>
      </c>
      <c r="L28" s="10">
        <f>'Model inputs'!L82+'Model inputs'!L76+'Model inputs'!L80</f>
        <v>1135.52</v>
      </c>
      <c r="M28" s="10">
        <f>'Model inputs'!M82+'Model inputs'!M76+'Model inputs'!M80</f>
        <v>1260.0000000000002</v>
      </c>
      <c r="N28" s="10">
        <f>'Model inputs'!N82+'Model inputs'!N76+'Model inputs'!N80</f>
        <v>1384.48</v>
      </c>
      <c r="O28" s="10">
        <f>'Model inputs'!O82+'Model inputs'!O76+'Model inputs'!O80</f>
        <v>1757.9200000000003</v>
      </c>
      <c r="P28" s="10">
        <f>'Model inputs'!P82+'Model inputs'!P76+'Model inputs'!P80</f>
        <v>1882.4</v>
      </c>
      <c r="Q28" s="10">
        <f>'Model inputs'!Q82+'Model inputs'!Q76+'Model inputs'!Q80</f>
        <v>2318.08</v>
      </c>
      <c r="R28" s="10">
        <f>'Model inputs'!R82+'Model inputs'!R76+'Model inputs'!R80</f>
        <v>2442.56</v>
      </c>
      <c r="S28" s="10">
        <f>'Model inputs'!S82+'Model inputs'!S76+'Model inputs'!S80</f>
        <v>2878.2399999999993</v>
      </c>
      <c r="T28" s="10">
        <f>'Model inputs'!T82+'Model inputs'!T76+'Model inputs'!T80</f>
        <v>3002.72</v>
      </c>
      <c r="U28" s="10">
        <f>'Model inputs'!U82+'Model inputs'!U76+'Model inputs'!U80</f>
        <v>3438.4</v>
      </c>
      <c r="V28" s="10">
        <f>'Model inputs'!V82+'Model inputs'!V76+'Model inputs'!V80</f>
        <v>3936.3199999999997</v>
      </c>
      <c r="W28" s="10">
        <f>'Model inputs'!W82+'Model inputs'!W76+'Model inputs'!W80</f>
        <v>4060.8</v>
      </c>
      <c r="X28" s="10">
        <f>'Model inputs'!X82+'Model inputs'!X76+'Model inputs'!X80</f>
        <v>4496.48</v>
      </c>
      <c r="Y28" s="10">
        <f>'Model inputs'!Y82+'Model inputs'!Y76+'Model inputs'!Y80</f>
        <v>4620.96</v>
      </c>
      <c r="Z28" s="10">
        <v>0</v>
      </c>
      <c r="AA28" s="10">
        <f>'Model inputs'!AA82+'Model inputs'!AA76+'Model inputs'!AA80</f>
        <v>0</v>
      </c>
    </row>
    <row r="29">
      <c r="A29" t="inlineStr" s="15">
        <is>
          <t xml:space="preserve">COGS · Growth</t>
        </is>
      </c>
      <c r="B29" s="10">
        <f>'Model inputs'!B83+'Model inputs'!B77+'Model inputs'!B81</f>
        <v>15.2</v>
      </c>
      <c r="C29" s="10">
        <f>'Model inputs'!C83+'Model inputs'!C77+'Model inputs'!C81</f>
        <v>15.2</v>
      </c>
      <c r="D29" s="10">
        <f>'Model inputs'!D83+'Model inputs'!D77+'Model inputs'!D81</f>
        <v>15.2</v>
      </c>
      <c r="E29" s="10">
        <f>'Model inputs'!E83+'Model inputs'!E77+'Model inputs'!E81</f>
        <v>216.704</v>
      </c>
      <c r="F29" s="10">
        <f>'Model inputs'!F83+'Model inputs'!F77+'Model inputs'!F81</f>
        <v>317.45599999999996</v>
      </c>
      <c r="G29" s="10">
        <f>'Model inputs'!G83+'Model inputs'!G77+'Model inputs'!G81</f>
        <v>518.96</v>
      </c>
      <c r="H29" s="10">
        <f>'Model inputs'!H83+'Model inputs'!H77+'Model inputs'!H81</f>
        <v>745.652</v>
      </c>
      <c r="I29" s="10">
        <f>'Model inputs'!I83+'Model inputs'!I77+'Model inputs'!I81</f>
        <v>972.344</v>
      </c>
      <c r="J29" s="10">
        <f>'Model inputs'!J83+'Model inputs'!J77+'Model inputs'!J81</f>
        <v>1224.224</v>
      </c>
      <c r="K29" s="10">
        <f>'Model inputs'!K83+'Model inputs'!K77+'Model inputs'!K81</f>
        <v>1450.9160000000004</v>
      </c>
      <c r="L29" s="10">
        <f>'Model inputs'!L83+'Model inputs'!L77+'Model inputs'!L81</f>
        <v>1677.6080000000002</v>
      </c>
      <c r="M29" s="10">
        <f>'Model inputs'!M83+'Model inputs'!M77+'Model inputs'!M81</f>
        <v>1904.3</v>
      </c>
      <c r="N29" s="10">
        <f>'Model inputs'!N83+'Model inputs'!N77+'Model inputs'!N81</f>
        <v>2156.1800000000003</v>
      </c>
      <c r="O29" s="10">
        <f>'Model inputs'!O83+'Model inputs'!O77+'Model inputs'!O81</f>
        <v>2559.1879999999996</v>
      </c>
      <c r="P29" s="10">
        <f>'Model inputs'!P83+'Model inputs'!P77+'Model inputs'!P81</f>
        <v>2811.068</v>
      </c>
      <c r="Q29" s="10">
        <f>'Model inputs'!Q83+'Model inputs'!Q77+'Model inputs'!Q81</f>
        <v>3214.076</v>
      </c>
      <c r="R29" s="10">
        <f>'Model inputs'!R83+'Model inputs'!R77+'Model inputs'!R81</f>
        <v>3465.9559999999997</v>
      </c>
      <c r="S29" s="10">
        <f>'Model inputs'!S83+'Model inputs'!S77+'Model inputs'!S81</f>
        <v>3868.964</v>
      </c>
      <c r="T29" s="10">
        <f>'Model inputs'!T83+'Model inputs'!T77+'Model inputs'!T81</f>
        <v>4120.844</v>
      </c>
      <c r="U29" s="10">
        <f>'Model inputs'!U83+'Model inputs'!U77+'Model inputs'!U81</f>
        <v>4372.724</v>
      </c>
      <c r="V29" s="10">
        <f>'Model inputs'!V83+'Model inputs'!V77+'Model inputs'!V81</f>
        <v>4775.732</v>
      </c>
      <c r="W29" s="10">
        <f>'Model inputs'!W83+'Model inputs'!W77+'Model inputs'!W81</f>
        <v>5027.612</v>
      </c>
      <c r="X29" s="10">
        <f>'Model inputs'!X83+'Model inputs'!X77+'Model inputs'!X81</f>
        <v>5430.620000000001</v>
      </c>
      <c r="Y29" s="10">
        <f>'Model inputs'!Y83+'Model inputs'!Y77+'Model inputs'!Y81</f>
        <v>5682.5</v>
      </c>
      <c r="Z29" s="10">
        <v>0</v>
      </c>
      <c r="AA29" s="10">
        <f>'Model inputs'!AA83+'Model inputs'!AA77+'Model inputs'!AA81</f>
        <v>0</v>
      </c>
    </row>
    <row r="30">
      <c r="A30" t="inlineStr" s="15">
        <is>
          <t xml:space="preserve">Customers</t>
        </is>
      </c>
      <c r="B30" s="7">
        <f>IF('Model inputs'!B6="","",'Model inputs'!B6)</f>
        <v>0</v>
      </c>
      <c r="C30" s="7">
        <f>IF('Model inputs'!C6="","",'Model inputs'!C6)</f>
        <v>0</v>
      </c>
      <c r="D30" s="7">
        <f>IF('Model inputs'!D6="","",'Model inputs'!D6)</f>
        <v>0</v>
      </c>
      <c r="E30" s="7">
        <f>IF('Model inputs'!E6="","",'Model inputs'!E6)</f>
        <v>0</v>
      </c>
      <c r="F30" s="7">
        <f>IF('Model inputs'!F6="","",'Model inputs'!F6)</f>
        <v>0</v>
      </c>
      <c r="G30" s="7">
        <f>IF('Model inputs'!G6="","",'Model inputs'!G6)</f>
        <v>0</v>
      </c>
      <c r="H30" s="7">
        <f>IF('Model inputs'!H6="","",'Model inputs'!H6)</f>
        <v>2</v>
      </c>
      <c r="I30" s="7">
        <f>IF('Model inputs'!I6="","",'Model inputs'!I6)</f>
        <v>4</v>
      </c>
      <c r="J30" s="7">
        <f>IF('Model inputs'!J6="","",'Model inputs'!J6)</f>
        <v>6</v>
      </c>
      <c r="K30" s="7">
        <f>IF('Model inputs'!K6="","",'Model inputs'!K6)</f>
        <v>8</v>
      </c>
      <c r="L30" s="7">
        <f>IF('Model inputs'!L6="","",'Model inputs'!L6)</f>
        <v>10</v>
      </c>
      <c r="M30" s="7">
        <f>IF('Model inputs'!M6="","",'Model inputs'!M6)</f>
        <v>12</v>
      </c>
      <c r="N30" s="7">
        <f>IF('Model inputs'!N6="","",'Model inputs'!N6)</f>
        <v>14</v>
      </c>
      <c r="O30" s="7">
        <f>IF('Model inputs'!O6="","",'Model inputs'!O6)</f>
        <v>16</v>
      </c>
      <c r="P30" s="7">
        <f>IF('Model inputs'!P6="","",'Model inputs'!P6)</f>
        <v>18</v>
      </c>
      <c r="Q30" s="7">
        <f>IF('Model inputs'!Q6="","",'Model inputs'!Q6)</f>
        <v>21</v>
      </c>
      <c r="R30" s="7">
        <f>IF('Model inputs'!R6="","",'Model inputs'!R6)</f>
        <v>23</v>
      </c>
      <c r="S30" s="7">
        <f>IF('Model inputs'!S6="","",'Model inputs'!S6)</f>
        <v>26</v>
      </c>
      <c r="T30" s="7">
        <f>IF('Model inputs'!T6="","",'Model inputs'!T6)</f>
        <v>28</v>
      </c>
      <c r="U30" s="7">
        <f>IF('Model inputs'!U6="","",'Model inputs'!U6)</f>
        <v>31</v>
      </c>
      <c r="V30" s="7">
        <f>IF('Model inputs'!V6="","",'Model inputs'!V6)</f>
        <v>35</v>
      </c>
      <c r="W30" s="7">
        <f>IF('Model inputs'!W6="","",'Model inputs'!W6)</f>
        <v>37</v>
      </c>
      <c r="X30" s="7">
        <f>IF('Model inputs'!X6="","",'Model inputs'!X6)</f>
        <v>40</v>
      </c>
      <c r="Y30" s="7">
        <f>IF('Model inputs'!Y6="","",'Model inputs'!Y6)</f>
        <v>42</v>
      </c>
      <c r="Z30" s="7">
        <f>SUM('Model inputs'!Z31,'Model inputs'!Z32)</f>
        <v>0</v>
      </c>
      <c r="AA30" s="7">
        <f>SUM('Model inputs'!AA31,'Model inputs'!AA32)</f>
        <v>0</v>
      </c>
    </row>
    <row r="31" outlineLevel="1">
      <c r="A31" t="inlineStr" s="16">
        <is>
          <t xml:space="preserve">Customers &gt; Starter</t>
        </is>
      </c>
      <c r="B31" s="9">
        <f>IF('Model inputs'!B7="","",'Model inputs'!B7)</f>
        <v>0</v>
      </c>
      <c r="C31" s="9">
        <f>IF('Model inputs'!C7="","",'Model inputs'!C7)</f>
        <v>0</v>
      </c>
      <c r="D31" s="9">
        <f>IF('Model inputs'!D7="","",'Model inputs'!D7)</f>
        <v>0</v>
      </c>
      <c r="E31" s="9">
        <f>IF('Model inputs'!E7="","",'Model inputs'!E7)</f>
        <v>0</v>
      </c>
      <c r="F31" s="9">
        <f>IF('Model inputs'!F7="","",'Model inputs'!F7)</f>
        <v>0</v>
      </c>
      <c r="G31" s="9">
        <f>IF('Model inputs'!G7="","",'Model inputs'!G7)</f>
        <v>0</v>
      </c>
      <c r="H31" s="9">
        <f>IF('Model inputs'!H7="","",'Model inputs'!H7)</f>
        <v>2</v>
      </c>
      <c r="I31" s="9">
        <f>IF('Model inputs'!I7="","",'Model inputs'!I7)</f>
        <v>3</v>
      </c>
      <c r="J31" s="9">
        <f>IF('Model inputs'!J7="","",'Model inputs'!J7)</f>
        <v>5</v>
      </c>
      <c r="K31" s="9">
        <f>IF('Model inputs'!K7="","",'Model inputs'!K7)</f>
        <v>7</v>
      </c>
      <c r="L31" s="9">
        <f>IF('Model inputs'!L7="","",'Model inputs'!L7)</f>
        <v>8</v>
      </c>
      <c r="M31" s="9">
        <f>IF('Model inputs'!M7="","",'Model inputs'!M7)</f>
        <v>10</v>
      </c>
      <c r="N31" s="9">
        <f>IF('Model inputs'!N7="","",'Model inputs'!N7)</f>
        <v>12</v>
      </c>
      <c r="O31" s="9">
        <f>IF('Model inputs'!O7="","",'Model inputs'!O7)</f>
        <v>13</v>
      </c>
      <c r="P31" s="9">
        <f>IF('Model inputs'!P7="","",'Model inputs'!P7)</f>
        <v>15</v>
      </c>
      <c r="Q31" s="9">
        <f>IF('Model inputs'!Q7="","",'Model inputs'!Q7)</f>
        <v>17</v>
      </c>
      <c r="R31" s="9">
        <f>IF('Model inputs'!R7="","",'Model inputs'!R7)</f>
        <v>19</v>
      </c>
      <c r="S31" s="9">
        <f>IF('Model inputs'!S7="","",'Model inputs'!S7)</f>
        <v>21</v>
      </c>
      <c r="T31" s="9">
        <f>IF('Model inputs'!T7="","",'Model inputs'!T7)</f>
        <v>23</v>
      </c>
      <c r="U31" s="9">
        <f>IF('Model inputs'!U7="","",'Model inputs'!U7)</f>
        <v>25</v>
      </c>
      <c r="V31" s="9">
        <f>IF('Model inputs'!V7="","",'Model inputs'!V7)</f>
        <v>28</v>
      </c>
      <c r="W31" s="9">
        <f>IF('Model inputs'!W7="","",'Model inputs'!W7)</f>
        <v>30</v>
      </c>
      <c r="X31" s="9">
        <f>IF('Model inputs'!X7="","",'Model inputs'!X7)</f>
        <v>32</v>
      </c>
      <c r="Y31" s="9">
        <f>IF('Model inputs'!Y7="","",'Model inputs'!Y7)</f>
        <v>34</v>
      </c>
      <c r="Z31" s="9">
        <f>0</f>
        <v>0</v>
      </c>
      <c r="AA31" s="9">
        <f>IF(IF(('Model inputs'!AA16-'Model inputs'!AB60)&lt;1="",FALSE,('Model inputs'!AA16-'Model inputs'!AB60)&lt;1),0,ROUND(IF(IF(('Model inputs'!AA16-'Model inputs'!AB60)&lt;=3="",FALSE,('Model inputs'!AA16-'Model inputs'!AB60)&lt;=3),IF('Model inputs'!AB49="","",'Model inputs'!AB49),IF(IF(('Model inputs'!AA16-'Model inputs'!AB60)&lt;=6="",FALSE,('Model inputs'!AA16-'Model inputs'!AB60)&lt;=6),'Model inputs'!AB49+('Model inputs'!AB55-'Model inputs'!AB49)*(('Model inputs'!AA16-'Model inputs'!AB60)-3)/3,IF(IF(('Model inputs'!AA16-'Model inputs'!AB60)&lt;=12="",FALSE,('Model inputs'!AA16-'Model inputs'!AB60)&lt;=12),'Model inputs'!AB55+('Model inputs'!AB37-'Model inputs'!AB55)*(('Model inputs'!AA16-'Model inputs'!AB60)-6)/6,'Model inputs'!AB37+('Model inputs'!AB43-'Model inputs'!AB37)*(('Model inputs'!AA16-'Model inputs'!AB60)-12)/12))),0))</f>
        <v>0</v>
      </c>
    </row>
    <row r="32" outlineLevel="1">
      <c r="A32" t="inlineStr" s="16">
        <is>
          <t xml:space="preserve">Customers &gt; Team</t>
        </is>
      </c>
      <c r="B32" s="9">
        <f>IF('Model inputs'!B8="","",'Model inputs'!B8)</f>
        <v>0</v>
      </c>
      <c r="C32" s="9">
        <f>IF('Model inputs'!C8="","",'Model inputs'!C8)</f>
        <v>0</v>
      </c>
      <c r="D32" s="9">
        <f>IF('Model inputs'!D8="","",'Model inputs'!D8)</f>
        <v>0</v>
      </c>
      <c r="E32" s="9">
        <f>IF('Model inputs'!E8="","",'Model inputs'!E8)</f>
        <v>0</v>
      </c>
      <c r="F32" s="9">
        <f>IF('Model inputs'!F8="","",'Model inputs'!F8)</f>
        <v>0</v>
      </c>
      <c r="G32" s="9">
        <f>IF('Model inputs'!G8="","",'Model inputs'!G8)</f>
        <v>0</v>
      </c>
      <c r="H32" s="9">
        <f>IF('Model inputs'!H8="","",'Model inputs'!H8)</f>
        <v>0</v>
      </c>
      <c r="I32" s="9">
        <f>IF('Model inputs'!I8="","",'Model inputs'!I8)</f>
        <v>1</v>
      </c>
      <c r="J32" s="9">
        <f>IF('Model inputs'!J8="","",'Model inputs'!J8)</f>
        <v>1</v>
      </c>
      <c r="K32" s="9">
        <f>IF('Model inputs'!K8="","",'Model inputs'!K8)</f>
        <v>1</v>
      </c>
      <c r="L32" s="9">
        <f>IF('Model inputs'!L8="","",'Model inputs'!L8)</f>
        <v>2</v>
      </c>
      <c r="M32" s="9">
        <f>IF('Model inputs'!M8="","",'Model inputs'!M8)</f>
        <v>2</v>
      </c>
      <c r="N32" s="9">
        <f>IF('Model inputs'!N8="","",'Model inputs'!N8)</f>
        <v>2</v>
      </c>
      <c r="O32" s="9">
        <f>IF('Model inputs'!O8="","",'Model inputs'!O8)</f>
        <v>3</v>
      </c>
      <c r="P32" s="9">
        <f>IF('Model inputs'!P8="","",'Model inputs'!P8)</f>
        <v>3</v>
      </c>
      <c r="Q32" s="9">
        <f>IF('Model inputs'!Q8="","",'Model inputs'!Q8)</f>
        <v>4</v>
      </c>
      <c r="R32" s="9">
        <f>IF('Model inputs'!R8="","",'Model inputs'!R8)</f>
        <v>4</v>
      </c>
      <c r="S32" s="9">
        <f>IF('Model inputs'!S8="","",'Model inputs'!S8)</f>
        <v>5</v>
      </c>
      <c r="T32" s="9">
        <f>IF('Model inputs'!T8="","",'Model inputs'!T8)</f>
        <v>5</v>
      </c>
      <c r="U32" s="9">
        <f>IF('Model inputs'!U8="","",'Model inputs'!U8)</f>
        <v>6</v>
      </c>
      <c r="V32" s="9">
        <f>IF('Model inputs'!V8="","",'Model inputs'!V8)</f>
        <v>7</v>
      </c>
      <c r="W32" s="9">
        <f>IF('Model inputs'!W8="","",'Model inputs'!W8)</f>
        <v>7</v>
      </c>
      <c r="X32" s="9">
        <f>IF('Model inputs'!X8="","",'Model inputs'!X8)</f>
        <v>8</v>
      </c>
      <c r="Y32" s="9">
        <f>IF('Model inputs'!Y8="","",'Model inputs'!Y8)</f>
        <v>8</v>
      </c>
      <c r="Z32" s="9">
        <f>0</f>
        <v>0</v>
      </c>
      <c r="AA32" s="9">
        <f>IF(IF(('Model inputs'!AA16-'Model inputs'!AB60)&lt;1="",FALSE,('Model inputs'!AA16-'Model inputs'!AB60)&lt;1),0,ROUND(IF(IF(('Model inputs'!AA16-'Model inputs'!AB60)&lt;=3="",FALSE,('Model inputs'!AA16-'Model inputs'!AB60)&lt;=3),IF('Model inputs'!AB50="","",'Model inputs'!AB50),IF(IF(('Model inputs'!AA16-'Model inputs'!AB60)&lt;=6="",FALSE,('Model inputs'!AA16-'Model inputs'!AB60)&lt;=6),'Model inputs'!AB50+('Model inputs'!AB56-'Model inputs'!AB50)*(('Model inputs'!AA16-'Model inputs'!AB60)-3)/3,IF(IF(('Model inputs'!AA16-'Model inputs'!AB60)&lt;=12="",FALSE,('Model inputs'!AA16-'Model inputs'!AB60)&lt;=12),'Model inputs'!AB56+('Model inputs'!AB38-'Model inputs'!AB56)*(('Model inputs'!AA16-'Model inputs'!AB60)-6)/6,'Model inputs'!AB38+('Model inputs'!AB44-'Model inputs'!AB38)*(('Model inputs'!AA16-'Model inputs'!AB60)-12)/12))),0))</f>
        <v>0</v>
      </c>
    </row>
    <row r="33">
      <c r="A33" t="inlineStr" s="15">
        <is>
          <t xml:space="preserve">Customers</t>
        </is>
      </c>
      <c r="B33" s="7">
        <f>IF('Model inputs'!B9="","",'Model inputs'!B9)</f>
        <v>0</v>
      </c>
      <c r="C33" s="7">
        <f>IF('Model inputs'!C9="","",'Model inputs'!C9)</f>
        <v>0</v>
      </c>
      <c r="D33" s="7">
        <f>IF('Model inputs'!D9="","",'Model inputs'!D9)</f>
        <v>0</v>
      </c>
      <c r="E33" s="7">
        <f>IF('Model inputs'!E9="","",'Model inputs'!E9)</f>
        <v>4</v>
      </c>
      <c r="F33" s="7">
        <f>IF('Model inputs'!F9="","",'Model inputs'!F9)</f>
        <v>8</v>
      </c>
      <c r="G33" s="7">
        <f>IF('Model inputs'!G9="","",'Model inputs'!G9)</f>
        <v>12</v>
      </c>
      <c r="H33" s="7">
        <f>IF('Model inputs'!H9="","",'Model inputs'!H9)</f>
        <v>17</v>
      </c>
      <c r="I33" s="7">
        <f>IF('Model inputs'!I9="","",'Model inputs'!I9)</f>
        <v>22</v>
      </c>
      <c r="J33" s="7">
        <f>IF('Model inputs'!J9="","",'Model inputs'!J9)</f>
        <v>28</v>
      </c>
      <c r="K33" s="7">
        <f>IF('Model inputs'!K9="","",'Model inputs'!K9)</f>
        <v>33</v>
      </c>
      <c r="L33" s="7">
        <f>IF('Model inputs'!L9="","",'Model inputs'!L9)</f>
        <v>38</v>
      </c>
      <c r="M33" s="7">
        <f>IF('Model inputs'!M9="","",'Model inputs'!M9)</f>
        <v>43</v>
      </c>
      <c r="N33" s="7">
        <f>IF('Model inputs'!N9="","",'Model inputs'!N9)</f>
        <v>49</v>
      </c>
      <c r="O33" s="7">
        <f>IF('Model inputs'!O9="","",'Model inputs'!O9)</f>
        <v>57</v>
      </c>
      <c r="P33" s="7">
        <f>IF('Model inputs'!P9="","",'Model inputs'!P9)</f>
        <v>63</v>
      </c>
      <c r="Q33" s="7">
        <f>IF('Model inputs'!Q9="","",'Model inputs'!Q9)</f>
        <v>71</v>
      </c>
      <c r="R33" s="7">
        <f>IF('Model inputs'!R9="","",'Model inputs'!R9)</f>
        <v>77</v>
      </c>
      <c r="S33" s="7">
        <f>IF('Model inputs'!S9="","",'Model inputs'!S9)</f>
        <v>85</v>
      </c>
      <c r="T33" s="7">
        <f>IF('Model inputs'!T9="","",'Model inputs'!T9)</f>
        <v>91</v>
      </c>
      <c r="U33" s="7">
        <f>IF('Model inputs'!U9="","",'Model inputs'!U9)</f>
        <v>97</v>
      </c>
      <c r="V33" s="7">
        <f>IF('Model inputs'!V9="","",'Model inputs'!V9)</f>
        <v>105</v>
      </c>
      <c r="W33" s="7">
        <f>IF('Model inputs'!W9="","",'Model inputs'!W9)</f>
        <v>111</v>
      </c>
      <c r="X33" s="7">
        <f>IF('Model inputs'!X9="","",'Model inputs'!X9)</f>
        <v>119</v>
      </c>
      <c r="Y33" s="7">
        <f>IF('Model inputs'!Y9="","",'Model inputs'!Y9)</f>
        <v>125</v>
      </c>
      <c r="Z33" s="7">
        <f>SUM('Model inputs'!Z34,'Model inputs'!Z35)</f>
        <v>0</v>
      </c>
      <c r="AA33" s="7">
        <f>SUM('Model inputs'!AA34,'Model inputs'!AA35)</f>
        <v>0</v>
      </c>
    </row>
    <row r="34" outlineLevel="1">
      <c r="A34" t="inlineStr" s="16">
        <is>
          <t xml:space="preserve">Customers &gt; Starter</t>
        </is>
      </c>
      <c r="B34" s="9">
        <f>IF('Model inputs'!B10="","",'Model inputs'!B10)</f>
        <v>0</v>
      </c>
      <c r="C34" s="9">
        <f>IF('Model inputs'!C10="","",'Model inputs'!C10)</f>
        <v>0</v>
      </c>
      <c r="D34" s="9">
        <f>IF('Model inputs'!D10="","",'Model inputs'!D10)</f>
        <v>0</v>
      </c>
      <c r="E34" s="9">
        <f>IF('Model inputs'!E10="","",'Model inputs'!E10)</f>
        <v>3</v>
      </c>
      <c r="F34" s="9">
        <f>IF('Model inputs'!F10="","",'Model inputs'!F10)</f>
        <v>7</v>
      </c>
      <c r="G34" s="9">
        <f>IF('Model inputs'!G10="","",'Model inputs'!G10)</f>
        <v>10</v>
      </c>
      <c r="H34" s="9">
        <f>IF('Model inputs'!H10="","",'Model inputs'!H10)</f>
        <v>14</v>
      </c>
      <c r="I34" s="9">
        <f>IF('Model inputs'!I10="","",'Model inputs'!I10)</f>
        <v>18</v>
      </c>
      <c r="J34" s="9">
        <f>IF('Model inputs'!J10="","",'Model inputs'!J10)</f>
        <v>23</v>
      </c>
      <c r="K34" s="9">
        <f>IF('Model inputs'!K10="","",'Model inputs'!K10)</f>
        <v>27</v>
      </c>
      <c r="L34" s="9">
        <f>IF('Model inputs'!L10="","",'Model inputs'!L10)</f>
        <v>31</v>
      </c>
      <c r="M34" s="9">
        <f>IF('Model inputs'!M10="","",'Model inputs'!M10)</f>
        <v>35</v>
      </c>
      <c r="N34" s="9">
        <f>IF('Model inputs'!N10="","",'Model inputs'!N10)</f>
        <v>40</v>
      </c>
      <c r="O34" s="9">
        <f>IF('Model inputs'!O10="","",'Model inputs'!O10)</f>
        <v>46</v>
      </c>
      <c r="P34" s="9">
        <f>IF('Model inputs'!P10="","",'Model inputs'!P10)</f>
        <v>51</v>
      </c>
      <c r="Q34" s="9">
        <f>IF('Model inputs'!Q10="","",'Model inputs'!Q10)</f>
        <v>57</v>
      </c>
      <c r="R34" s="9">
        <f>IF('Model inputs'!R10="","",'Model inputs'!R10)</f>
        <v>62</v>
      </c>
      <c r="S34" s="9">
        <f>IF('Model inputs'!S10="","",'Model inputs'!S10)</f>
        <v>68</v>
      </c>
      <c r="T34" s="9">
        <f>IF('Model inputs'!T10="","",'Model inputs'!T10)</f>
        <v>73</v>
      </c>
      <c r="U34" s="9">
        <f>IF('Model inputs'!U10="","",'Model inputs'!U10)</f>
        <v>78</v>
      </c>
      <c r="V34" s="9">
        <f>IF('Model inputs'!V10="","",'Model inputs'!V10)</f>
        <v>84</v>
      </c>
      <c r="W34" s="9">
        <f>IF('Model inputs'!W10="","",'Model inputs'!W10)</f>
        <v>89</v>
      </c>
      <c r="X34" s="9">
        <f>IF('Model inputs'!X10="","",'Model inputs'!X10)</f>
        <v>95</v>
      </c>
      <c r="Y34" s="9">
        <f>IF('Model inputs'!Y10="","",'Model inputs'!Y10)</f>
        <v>100</v>
      </c>
      <c r="Z34" s="9">
        <f>0</f>
        <v>0</v>
      </c>
      <c r="AA34" s="9">
        <f>IF(IF(('Model inputs'!AA17-'Model inputs'!AB61)&lt;1="",FALSE,('Model inputs'!AA17-'Model inputs'!AB61)&lt;1),0,ROUND(IF(IF(('Model inputs'!AA17-'Model inputs'!AB61)&lt;=3="",FALSE,('Model inputs'!AA17-'Model inputs'!AB61)&lt;=3),IF('Model inputs'!AB52="","",'Model inputs'!AB52),IF(IF(('Model inputs'!AA17-'Model inputs'!AB61)&lt;=6="",FALSE,('Model inputs'!AA17-'Model inputs'!AB61)&lt;=6),'Model inputs'!AB52+('Model inputs'!AB58-'Model inputs'!AB52)*(('Model inputs'!AA17-'Model inputs'!AB61)-3)/3,IF(IF(('Model inputs'!AA17-'Model inputs'!AB61)&lt;=12="",FALSE,('Model inputs'!AA17-'Model inputs'!AB61)&lt;=12),'Model inputs'!AB58+('Model inputs'!AB40-'Model inputs'!AB58)*(('Model inputs'!AA17-'Model inputs'!AB61)-6)/6,'Model inputs'!AB40+('Model inputs'!AB46-'Model inputs'!AB40)*(('Model inputs'!AA17-'Model inputs'!AB61)-12)/12))),0))</f>
        <v>0</v>
      </c>
    </row>
    <row r="35" outlineLevel="1">
      <c r="A35" t="inlineStr" s="16">
        <is>
          <t xml:space="preserve">Customers &gt; Team</t>
        </is>
      </c>
      <c r="B35" s="9">
        <f>IF('Model inputs'!B11="","",'Model inputs'!B11)</f>
        <v>0</v>
      </c>
      <c r="C35" s="9">
        <f>IF('Model inputs'!C11="","",'Model inputs'!C11)</f>
        <v>0</v>
      </c>
      <c r="D35" s="9">
        <f>IF('Model inputs'!D11="","",'Model inputs'!D11)</f>
        <v>0</v>
      </c>
      <c r="E35" s="9">
        <f>IF('Model inputs'!E11="","",'Model inputs'!E11)</f>
        <v>1</v>
      </c>
      <c r="F35" s="9">
        <f>IF('Model inputs'!F11="","",'Model inputs'!F11)</f>
        <v>1</v>
      </c>
      <c r="G35" s="9">
        <f>IF('Model inputs'!G11="","",'Model inputs'!G11)</f>
        <v>2</v>
      </c>
      <c r="H35" s="9">
        <f>IF('Model inputs'!H11="","",'Model inputs'!H11)</f>
        <v>3</v>
      </c>
      <c r="I35" s="9">
        <f>IF('Model inputs'!I11="","",'Model inputs'!I11)</f>
        <v>4</v>
      </c>
      <c r="J35" s="9">
        <f>IF('Model inputs'!J11="","",'Model inputs'!J11)</f>
        <v>5</v>
      </c>
      <c r="K35" s="9">
        <f>IF('Model inputs'!K11="","",'Model inputs'!K11)</f>
        <v>6</v>
      </c>
      <c r="L35" s="9">
        <f>IF('Model inputs'!L11="","",'Model inputs'!L11)</f>
        <v>7</v>
      </c>
      <c r="M35" s="9">
        <f>IF('Model inputs'!M11="","",'Model inputs'!M11)</f>
        <v>8</v>
      </c>
      <c r="N35" s="9">
        <f>IF('Model inputs'!N11="","",'Model inputs'!N11)</f>
        <v>9</v>
      </c>
      <c r="O35" s="9">
        <f>IF('Model inputs'!O11="","",'Model inputs'!O11)</f>
        <v>11</v>
      </c>
      <c r="P35" s="9">
        <f>IF('Model inputs'!P11="","",'Model inputs'!P11)</f>
        <v>12</v>
      </c>
      <c r="Q35" s="9">
        <f>IF('Model inputs'!Q11="","",'Model inputs'!Q11)</f>
        <v>14</v>
      </c>
      <c r="R35" s="9">
        <f>IF('Model inputs'!R11="","",'Model inputs'!R11)</f>
        <v>15</v>
      </c>
      <c r="S35" s="9">
        <f>IF('Model inputs'!S11="","",'Model inputs'!S11)</f>
        <v>17</v>
      </c>
      <c r="T35" s="9">
        <f>IF('Model inputs'!T11="","",'Model inputs'!T11)</f>
        <v>18</v>
      </c>
      <c r="U35" s="9">
        <f>IF('Model inputs'!U11="","",'Model inputs'!U11)</f>
        <v>19</v>
      </c>
      <c r="V35" s="9">
        <f>IF('Model inputs'!V11="","",'Model inputs'!V11)</f>
        <v>21</v>
      </c>
      <c r="W35" s="9">
        <f>IF('Model inputs'!W11="","",'Model inputs'!W11)</f>
        <v>22</v>
      </c>
      <c r="X35" s="9">
        <f>IF('Model inputs'!X11="","",'Model inputs'!X11)</f>
        <v>24</v>
      </c>
      <c r="Y35" s="9">
        <f>IF('Model inputs'!Y11="","",'Model inputs'!Y11)</f>
        <v>25</v>
      </c>
      <c r="Z35" s="9">
        <f>0</f>
        <v>0</v>
      </c>
      <c r="AA35" s="9">
        <f>IF(IF(('Model inputs'!AA17-'Model inputs'!AB61)&lt;1="",FALSE,('Model inputs'!AA17-'Model inputs'!AB61)&lt;1),0,ROUND(IF(IF(('Model inputs'!AA17-'Model inputs'!AB61)&lt;=3="",FALSE,('Model inputs'!AA17-'Model inputs'!AB61)&lt;=3),IF('Model inputs'!AB53="","",'Model inputs'!AB53),IF(IF(('Model inputs'!AA17-'Model inputs'!AB61)&lt;=6="",FALSE,('Model inputs'!AA17-'Model inputs'!AB61)&lt;=6),'Model inputs'!AB53+('Model inputs'!AB59-'Model inputs'!AB53)*(('Model inputs'!AA17-'Model inputs'!AB61)-3)/3,IF(IF(('Model inputs'!AA17-'Model inputs'!AB61)&lt;=12="",FALSE,('Model inputs'!AA17-'Model inputs'!AB61)&lt;=12),'Model inputs'!AB59+('Model inputs'!AB41-'Model inputs'!AB59)*(('Model inputs'!AA17-'Model inputs'!AB61)-6)/6,'Model inputs'!AB41+('Model inputs'!AB47-'Model inputs'!AB41)*(('Model inputs'!AA17-'Model inputs'!AB61)-12)/12))),0))</f>
        <v>0</v>
      </c>
    </row>
    <row r="36">
      <c r="A36" t="inlineStr" s="15">
        <is>
          <t xml:space="preserve">Customers by month 12</t>
        </is>
      </c>
      <c r="AB36" s="7">
        <v>0</v>
      </c>
    </row>
    <row r="37" outlineLevel="1">
      <c r="A37" t="inlineStr" s="16">
        <is>
          <t xml:space="preserve">Customers by month 12 &gt; Starter</t>
        </is>
      </c>
      <c r="AB37" s="9">
        <f>15</f>
        <v>15</v>
      </c>
    </row>
    <row r="38" outlineLevel="1">
      <c r="A38" t="inlineStr" s="16">
        <is>
          <t xml:space="preserve">Customers by month 12 &gt; Team</t>
        </is>
      </c>
      <c r="AB38" s="9">
        <f>3</f>
        <v>3</v>
      </c>
    </row>
    <row r="39">
      <c r="A39" t="inlineStr" s="15">
        <is>
          <t xml:space="preserve">Customers by month 12</t>
        </is>
      </c>
      <c r="AB39" s="7">
        <v>0</v>
      </c>
    </row>
    <row r="40" outlineLevel="1">
      <c r="A40" t="inlineStr" s="16">
        <is>
          <t xml:space="preserve">Customers by month 12 &gt; Starter</t>
        </is>
      </c>
      <c r="AB40" s="9">
        <f>35</f>
        <v>35</v>
      </c>
    </row>
    <row r="41" outlineLevel="1">
      <c r="A41" t="inlineStr" s="16">
        <is>
          <t xml:space="preserve">Customers by month 12 &gt; Team</t>
        </is>
      </c>
      <c r="AB41" s="9">
        <f>8</f>
        <v>8</v>
      </c>
    </row>
    <row r="42">
      <c r="A42" t="inlineStr" s="15">
        <is>
          <t xml:space="preserve">Customers by month 24</t>
        </is>
      </c>
      <c r="AB42" s="7">
        <v>0</v>
      </c>
    </row>
    <row r="43" outlineLevel="1">
      <c r="A43" t="inlineStr" s="16">
        <is>
          <t xml:space="preserve">Customers by month 24 &gt; Starter</t>
        </is>
      </c>
      <c r="AB43" s="9">
        <f>40</f>
        <v>40</v>
      </c>
    </row>
    <row r="44" outlineLevel="1">
      <c r="A44" t="inlineStr" s="16">
        <is>
          <t xml:space="preserve">Customers by month 24 &gt; Team</t>
        </is>
      </c>
      <c r="AB44" s="9">
        <f>10</f>
        <v>10</v>
      </c>
    </row>
    <row r="45">
      <c r="A45" t="inlineStr" s="15">
        <is>
          <t xml:space="preserve">Customers by month 24</t>
        </is>
      </c>
      <c r="AB45" s="7">
        <v>0</v>
      </c>
    </row>
    <row r="46" outlineLevel="1">
      <c r="A46" t="inlineStr" s="16">
        <is>
          <t xml:space="preserve">Customers by month 24 &gt; Starter</t>
        </is>
      </c>
      <c r="AB46" s="9">
        <f>100</f>
        <v>100</v>
      </c>
    </row>
    <row r="47" outlineLevel="1">
      <c r="A47" t="inlineStr" s="16">
        <is>
          <t xml:space="preserve">Customers by month 24 &gt; Team</t>
        </is>
      </c>
      <c r="AB47" s="9">
        <f>25</f>
        <v>25</v>
      </c>
    </row>
    <row r="48">
      <c r="A48" t="inlineStr" s="15">
        <is>
          <t xml:space="preserve">Customers by month 3</t>
        </is>
      </c>
      <c r="AB48" s="7">
        <v>0</v>
      </c>
    </row>
    <row r="49" outlineLevel="1">
      <c r="A49" t="inlineStr" s="16">
        <is>
          <t xml:space="preserve">Customers by month 3 &gt; Starter</t>
        </is>
      </c>
      <c r="AB49" s="9">
        <f>0</f>
        <v>0</v>
      </c>
    </row>
    <row r="50" outlineLevel="1">
      <c r="A50" t="inlineStr" s="16">
        <is>
          <t xml:space="preserve">Customers by month 3 &gt; Team</t>
        </is>
      </c>
      <c r="AB50" s="9">
        <f>0</f>
        <v>0</v>
      </c>
    </row>
    <row r="51">
      <c r="A51" t="inlineStr" s="15">
        <is>
          <t xml:space="preserve">Customers by month 3</t>
        </is>
      </c>
      <c r="AB51" s="7">
        <v>0</v>
      </c>
    </row>
    <row r="52" outlineLevel="1">
      <c r="A52" t="inlineStr" s="16">
        <is>
          <t xml:space="preserve">Customers by month 3 &gt; Starter</t>
        </is>
      </c>
      <c r="AB52" s="9">
        <f>0</f>
        <v>0</v>
      </c>
    </row>
    <row r="53" outlineLevel="1">
      <c r="A53" t="inlineStr" s="16">
        <is>
          <t xml:space="preserve">Customers by month 3 &gt; Team</t>
        </is>
      </c>
      <c r="AB53" s="9">
        <f>0</f>
        <v>0</v>
      </c>
    </row>
    <row r="54">
      <c r="A54" t="inlineStr" s="15">
        <is>
          <t xml:space="preserve">Customers by month 6</t>
        </is>
      </c>
      <c r="AB54" s="7">
        <v>0</v>
      </c>
    </row>
    <row r="55" outlineLevel="1">
      <c r="A55" t="inlineStr" s="16">
        <is>
          <t xml:space="preserve">Customers by month 6 &gt; Starter</t>
        </is>
      </c>
      <c r="AB55" s="9">
        <f>5</f>
        <v>5</v>
      </c>
    </row>
    <row r="56" outlineLevel="1">
      <c r="A56" t="inlineStr" s="16">
        <is>
          <t xml:space="preserve">Customers by month 6 &gt; Team</t>
        </is>
      </c>
      <c r="AB56" s="9">
        <f>1</f>
        <v>1</v>
      </c>
    </row>
    <row r="57">
      <c r="A57" t="inlineStr" s="15">
        <is>
          <t xml:space="preserve">Customers by month 6</t>
        </is>
      </c>
      <c r="AB57" s="7">
        <v>0</v>
      </c>
    </row>
    <row r="58" outlineLevel="1">
      <c r="A58" t="inlineStr" s="16">
        <is>
          <t xml:space="preserve">Customers by month 6 &gt; Starter</t>
        </is>
      </c>
      <c r="AB58" s="9">
        <f>10</f>
        <v>10</v>
      </c>
    </row>
    <row r="59" outlineLevel="1">
      <c r="A59" t="inlineStr" s="16">
        <is>
          <t xml:space="preserve">Customers by month 6 &gt; Team</t>
        </is>
      </c>
      <c r="AB59" s="9">
        <f>2</f>
        <v>2</v>
      </c>
    </row>
    <row r="60">
      <c r="A60" t="inlineStr" s="15">
        <is>
          <t xml:space="preserve">Milestone delay months · Customers · Downside · Downside</t>
        </is>
      </c>
      <c r="AB60" s="9">
        <f>3</f>
        <v>3</v>
      </c>
    </row>
    <row r="61">
      <c r="A61" t="inlineStr" s="15">
        <is>
          <t xml:space="preserve">Milestone delay months · Customers · Growth · Growth</t>
        </is>
      </c>
      <c r="AB61" s="9">
        <f>0</f>
        <v>0</v>
      </c>
    </row>
    <row r="62">
      <c r="A62" t="inlineStr" s="15">
        <is>
          <t xml:space="preserve">Operating expenses · Downside</t>
        </is>
      </c>
      <c r="B62" s="10">
        <f>'Model inputs'!B78+'Model inputs'!B84</f>
        <v>2100</v>
      </c>
      <c r="C62" s="10">
        <f>'Model inputs'!C78+'Model inputs'!C84</f>
        <v>2100</v>
      </c>
      <c r="D62" s="10">
        <f>'Model inputs'!D78+'Model inputs'!D84</f>
        <v>2100</v>
      </c>
      <c r="E62" s="10">
        <f>'Model inputs'!E78+'Model inputs'!E84</f>
        <v>2100</v>
      </c>
      <c r="F62" s="10">
        <f>'Model inputs'!F78+'Model inputs'!F84</f>
        <v>2100</v>
      </c>
      <c r="G62" s="10">
        <f>'Model inputs'!G78+'Model inputs'!G84</f>
        <v>2100</v>
      </c>
      <c r="H62" s="10">
        <f>'Model inputs'!H78+'Model inputs'!H84</f>
        <v>2100</v>
      </c>
      <c r="I62" s="10">
        <f>'Model inputs'!I78+'Model inputs'!I84</f>
        <v>2100</v>
      </c>
      <c r="J62" s="10">
        <f>'Model inputs'!J78+'Model inputs'!J84</f>
        <v>2100</v>
      </c>
      <c r="K62" s="10">
        <f>'Model inputs'!K78+'Model inputs'!K84</f>
        <v>2100</v>
      </c>
      <c r="L62" s="10">
        <f>'Model inputs'!L78+'Model inputs'!L84</f>
        <v>2100</v>
      </c>
      <c r="M62" s="10">
        <f>'Model inputs'!M78+'Model inputs'!M84</f>
        <v>2100</v>
      </c>
      <c r="N62" s="10">
        <f>'Model inputs'!N78+'Model inputs'!N84</f>
        <v>2100</v>
      </c>
      <c r="O62" s="10">
        <f>'Model inputs'!O78+'Model inputs'!O84</f>
        <v>2100</v>
      </c>
      <c r="P62" s="10">
        <f>'Model inputs'!P78+'Model inputs'!P84</f>
        <v>2100</v>
      </c>
      <c r="Q62" s="10">
        <f>'Model inputs'!Q78+'Model inputs'!Q84</f>
        <v>2100</v>
      </c>
      <c r="R62" s="10">
        <f>'Model inputs'!R78+'Model inputs'!R84</f>
        <v>2100</v>
      </c>
      <c r="S62" s="10">
        <f>'Model inputs'!S78+'Model inputs'!S84</f>
        <v>2100</v>
      </c>
      <c r="T62" s="10">
        <f>'Model inputs'!T78+'Model inputs'!T84</f>
        <v>2100</v>
      </c>
      <c r="U62" s="10">
        <f>'Model inputs'!U78+'Model inputs'!U84</f>
        <v>2100</v>
      </c>
      <c r="V62" s="10">
        <f>'Model inputs'!V78+'Model inputs'!V84</f>
        <v>2100</v>
      </c>
      <c r="W62" s="10">
        <f>'Model inputs'!W78+'Model inputs'!W84</f>
        <v>2100</v>
      </c>
      <c r="X62" s="10">
        <f>'Model inputs'!X78+'Model inputs'!X84</f>
        <v>2100</v>
      </c>
      <c r="Y62" s="10">
        <f>'Model inputs'!Y78+'Model inputs'!Y84</f>
        <v>2100</v>
      </c>
      <c r="Z62" s="10">
        <v>0</v>
      </c>
      <c r="AA62" s="10">
        <f>'Model inputs'!AA78+'Model inputs'!AA84</f>
        <v>0</v>
      </c>
    </row>
    <row r="63">
      <c r="A63" t="inlineStr" s="15">
        <is>
          <t xml:space="preserve">Operating expenses · Growth</t>
        </is>
      </c>
      <c r="B63" s="10">
        <f>'Model inputs'!B79+'Model inputs'!B85</f>
        <v>2100</v>
      </c>
      <c r="C63" s="10">
        <f>'Model inputs'!C79+'Model inputs'!C85</f>
        <v>2100</v>
      </c>
      <c r="D63" s="10">
        <f>'Model inputs'!D79+'Model inputs'!D85</f>
        <v>2100</v>
      </c>
      <c r="E63" s="10">
        <f>'Model inputs'!E79+'Model inputs'!E85</f>
        <v>2100</v>
      </c>
      <c r="F63" s="10">
        <f>'Model inputs'!F79+'Model inputs'!F85</f>
        <v>2100</v>
      </c>
      <c r="G63" s="10">
        <f>'Model inputs'!G79+'Model inputs'!G85</f>
        <v>2100</v>
      </c>
      <c r="H63" s="10">
        <f>'Model inputs'!H79+'Model inputs'!H85</f>
        <v>2100</v>
      </c>
      <c r="I63" s="10">
        <f>'Model inputs'!I79+'Model inputs'!I85</f>
        <v>2100</v>
      </c>
      <c r="J63" s="10">
        <f>'Model inputs'!J79+'Model inputs'!J85</f>
        <v>2100</v>
      </c>
      <c r="K63" s="10">
        <f>'Model inputs'!K79+'Model inputs'!K85</f>
        <v>2100</v>
      </c>
      <c r="L63" s="10">
        <f>'Model inputs'!L79+'Model inputs'!L85</f>
        <v>2100</v>
      </c>
      <c r="M63" s="10">
        <f>'Model inputs'!M79+'Model inputs'!M85</f>
        <v>2100</v>
      </c>
      <c r="N63" s="10">
        <f>'Model inputs'!N79+'Model inputs'!N85</f>
        <v>2100</v>
      </c>
      <c r="O63" s="10">
        <f>'Model inputs'!O79+'Model inputs'!O85</f>
        <v>2100</v>
      </c>
      <c r="P63" s="10">
        <f>'Model inputs'!P79+'Model inputs'!P85</f>
        <v>2100</v>
      </c>
      <c r="Q63" s="10">
        <f>'Model inputs'!Q79+'Model inputs'!Q85</f>
        <v>2100</v>
      </c>
      <c r="R63" s="10">
        <f>'Model inputs'!R79+'Model inputs'!R85</f>
        <v>2100</v>
      </c>
      <c r="S63" s="10">
        <f>'Model inputs'!S79+'Model inputs'!S85</f>
        <v>2100</v>
      </c>
      <c r="T63" s="10">
        <f>'Model inputs'!T79+'Model inputs'!T85</f>
        <v>2100</v>
      </c>
      <c r="U63" s="10">
        <f>'Model inputs'!U79+'Model inputs'!U85</f>
        <v>2100</v>
      </c>
      <c r="V63" s="10">
        <f>'Model inputs'!V79+'Model inputs'!V85</f>
        <v>2100</v>
      </c>
      <c r="W63" s="10">
        <f>'Model inputs'!W79+'Model inputs'!W85</f>
        <v>2100</v>
      </c>
      <c r="X63" s="10">
        <f>'Model inputs'!X79+'Model inputs'!X85</f>
        <v>2100</v>
      </c>
      <c r="Y63" s="10">
        <f>'Model inputs'!Y79+'Model inputs'!Y85</f>
        <v>2100</v>
      </c>
      <c r="Z63" s="10">
        <v>0</v>
      </c>
      <c r="AA63" s="10">
        <f>'Model inputs'!AA79+'Model inputs'!AA85</f>
        <v>0</v>
      </c>
    </row>
    <row r="64">
      <c r="A64" t="inlineStr" s="15">
        <is>
          <t xml:space="preserve">Revenue</t>
        </is>
      </c>
      <c r="B64" s="17">
        <f>IF('Model inputs'!B20="","",'Model inputs'!B20)</f>
        <v>0</v>
      </c>
      <c r="C64" s="17">
        <f>IF('Model inputs'!C20="","",'Model inputs'!C20)</f>
        <v>0</v>
      </c>
      <c r="D64" s="17">
        <f>IF('Model inputs'!D20="","",'Model inputs'!D20)</f>
        <v>0</v>
      </c>
      <c r="E64" s="17">
        <f>IF('Model inputs'!E20="","",'Model inputs'!E20)</f>
        <v>0</v>
      </c>
      <c r="F64" s="17">
        <f>IF('Model inputs'!F20="","",'Model inputs'!F20)</f>
        <v>0</v>
      </c>
      <c r="G64" s="17">
        <f>IF('Model inputs'!G20="","",'Model inputs'!G20)</f>
        <v>0</v>
      </c>
      <c r="H64" s="17">
        <f>IF('Model inputs'!H20="","",'Model inputs'!H20)</f>
        <v>198</v>
      </c>
      <c r="I64" s="17">
        <f>IF('Model inputs'!I20="","",'Model inputs'!I20)</f>
        <v>696</v>
      </c>
      <c r="J64" s="17">
        <f>IF('Model inputs'!J20="","",'Model inputs'!J20)</f>
        <v>894</v>
      </c>
      <c r="K64" s="17">
        <f>IF('Model inputs'!K20="","",'Model inputs'!K20)</f>
        <v>1092</v>
      </c>
      <c r="L64" s="17">
        <f>IF('Model inputs'!L20="","",'Model inputs'!L20)</f>
        <v>1590</v>
      </c>
      <c r="M64" s="17">
        <f>IF('Model inputs'!M20="","",'Model inputs'!M20)</f>
        <v>1788</v>
      </c>
      <c r="N64" s="17">
        <f>IF('Model inputs'!N20="","",'Model inputs'!N20)</f>
        <v>1986</v>
      </c>
      <c r="O64" s="17">
        <f>IF('Model inputs'!O20="","",'Model inputs'!O20)</f>
        <v>2484</v>
      </c>
      <c r="P64" s="17">
        <f>IF('Model inputs'!P20="","",'Model inputs'!P20)</f>
        <v>2682</v>
      </c>
      <c r="Q64" s="17">
        <f>IF('Model inputs'!Q20="","",'Model inputs'!Q20)</f>
        <v>3279</v>
      </c>
      <c r="R64" s="17">
        <f>IF('Model inputs'!R20="","",'Model inputs'!R20)</f>
        <v>3477</v>
      </c>
      <c r="S64" s="17">
        <f>IF('Model inputs'!S20="","",'Model inputs'!S20)</f>
        <v>4074</v>
      </c>
      <c r="T64" s="17">
        <f>IF('Model inputs'!T20="","",'Model inputs'!T20)</f>
        <v>4272</v>
      </c>
      <c r="U64" s="17">
        <f>IF('Model inputs'!U20="","",'Model inputs'!U20)</f>
        <v>4869</v>
      </c>
      <c r="V64" s="17">
        <f>IF('Model inputs'!V20="","",'Model inputs'!V20)</f>
        <v>5565</v>
      </c>
      <c r="W64" s="17">
        <f>IF('Model inputs'!W20="","",'Model inputs'!W20)</f>
        <v>5763</v>
      </c>
      <c r="X64" s="17">
        <f>IF('Model inputs'!X20="","",'Model inputs'!X20)</f>
        <v>6360</v>
      </c>
      <c r="Y64" s="17">
        <f>IF('Model inputs'!Y20="","",'Model inputs'!Y20)</f>
        <v>6558</v>
      </c>
      <c r="Z64" s="17">
        <f>SUM('Model inputs'!Z65,'Model inputs'!Z66)</f>
        <v>0</v>
      </c>
      <c r="AA64" s="17">
        <f>SUM('Model inputs'!AA65,'Model inputs'!AA66)</f>
        <v>0</v>
      </c>
    </row>
    <row r="65" outlineLevel="1">
      <c r="A65" t="inlineStr" s="16">
        <is>
          <t xml:space="preserve">Revenue &gt; Starter</t>
        </is>
      </c>
      <c r="B65" s="10">
        <f>IF('Model inputs'!B21="","",'Model inputs'!B21)</f>
        <v>0</v>
      </c>
      <c r="C65" s="10">
        <f>IF('Model inputs'!C21="","",'Model inputs'!C21)</f>
        <v>0</v>
      </c>
      <c r="D65" s="10">
        <f>IF('Model inputs'!D21="","",'Model inputs'!D21)</f>
        <v>0</v>
      </c>
      <c r="E65" s="10">
        <f>IF('Model inputs'!E21="","",'Model inputs'!E21)</f>
        <v>0</v>
      </c>
      <c r="F65" s="10">
        <f>IF('Model inputs'!F21="","",'Model inputs'!F21)</f>
        <v>0</v>
      </c>
      <c r="G65" s="10">
        <f>IF('Model inputs'!G21="","",'Model inputs'!G21)</f>
        <v>0</v>
      </c>
      <c r="H65" s="10">
        <f>IF('Model inputs'!H21="","",'Model inputs'!H21)</f>
        <v>198</v>
      </c>
      <c r="I65" s="10">
        <f>IF('Model inputs'!I21="","",'Model inputs'!I21)</f>
        <v>297</v>
      </c>
      <c r="J65" s="10">
        <f>IF('Model inputs'!J21="","",'Model inputs'!J21)</f>
        <v>495</v>
      </c>
      <c r="K65" s="10">
        <f>IF('Model inputs'!K21="","",'Model inputs'!K21)</f>
        <v>693</v>
      </c>
      <c r="L65" s="10">
        <f>IF('Model inputs'!L21="","",'Model inputs'!L21)</f>
        <v>792</v>
      </c>
      <c r="M65" s="10">
        <f>IF('Model inputs'!M21="","",'Model inputs'!M21)</f>
        <v>990</v>
      </c>
      <c r="N65" s="10">
        <f>IF('Model inputs'!N21="","",'Model inputs'!N21)</f>
        <v>1188</v>
      </c>
      <c r="O65" s="10">
        <f>IF('Model inputs'!O21="","",'Model inputs'!O21)</f>
        <v>1287</v>
      </c>
      <c r="P65" s="10">
        <f>IF('Model inputs'!P21="","",'Model inputs'!P21)</f>
        <v>1485</v>
      </c>
      <c r="Q65" s="10">
        <f>IF('Model inputs'!Q21="","",'Model inputs'!Q21)</f>
        <v>1683</v>
      </c>
      <c r="R65" s="10">
        <f>IF('Model inputs'!R21="","",'Model inputs'!R21)</f>
        <v>1881</v>
      </c>
      <c r="S65" s="10">
        <f>IF('Model inputs'!S21="","",'Model inputs'!S21)</f>
        <v>2079</v>
      </c>
      <c r="T65" s="10">
        <f>IF('Model inputs'!T21="","",'Model inputs'!T21)</f>
        <v>2277</v>
      </c>
      <c r="U65" s="10">
        <f>IF('Model inputs'!U21="","",'Model inputs'!U21)</f>
        <v>2475</v>
      </c>
      <c r="V65" s="10">
        <f>IF('Model inputs'!V21="","",'Model inputs'!V21)</f>
        <v>2772</v>
      </c>
      <c r="W65" s="10">
        <f>IF('Model inputs'!W21="","",'Model inputs'!W21)</f>
        <v>2970</v>
      </c>
      <c r="X65" s="10">
        <f>IF('Model inputs'!X21="","",'Model inputs'!X21)</f>
        <v>3168</v>
      </c>
      <c r="Y65" s="10">
        <f>IF('Model inputs'!Y21="","",'Model inputs'!Y21)</f>
        <v>3366</v>
      </c>
      <c r="Z65" s="10">
        <f>0</f>
        <v>0</v>
      </c>
      <c r="AA65" s="10">
        <f>'Model inputs'!AA31*'Model inputs'!AB71</f>
        <v>0</v>
      </c>
    </row>
    <row r="66" outlineLevel="1">
      <c r="A66" t="inlineStr" s="16">
        <is>
          <t xml:space="preserve">Revenue &gt; Team</t>
        </is>
      </c>
      <c r="B66" s="10">
        <f>IF('Model inputs'!B22="","",'Model inputs'!B22)</f>
        <v>0</v>
      </c>
      <c r="C66" s="10">
        <f>IF('Model inputs'!C22="","",'Model inputs'!C22)</f>
        <v>0</v>
      </c>
      <c r="D66" s="10">
        <f>IF('Model inputs'!D22="","",'Model inputs'!D22)</f>
        <v>0</v>
      </c>
      <c r="E66" s="10">
        <f>IF('Model inputs'!E22="","",'Model inputs'!E22)</f>
        <v>0</v>
      </c>
      <c r="F66" s="10">
        <f>IF('Model inputs'!F22="","",'Model inputs'!F22)</f>
        <v>0</v>
      </c>
      <c r="G66" s="10">
        <f>IF('Model inputs'!G22="","",'Model inputs'!G22)</f>
        <v>0</v>
      </c>
      <c r="H66" s="10">
        <f>IF('Model inputs'!H22="","",'Model inputs'!H22)</f>
        <v>0</v>
      </c>
      <c r="I66" s="10">
        <f>IF('Model inputs'!I22="","",'Model inputs'!I22)</f>
        <v>399</v>
      </c>
      <c r="J66" s="10">
        <f>IF('Model inputs'!J22="","",'Model inputs'!J22)</f>
        <v>399</v>
      </c>
      <c r="K66" s="10">
        <f>IF('Model inputs'!K22="","",'Model inputs'!K22)</f>
        <v>399</v>
      </c>
      <c r="L66" s="10">
        <f>IF('Model inputs'!L22="","",'Model inputs'!L22)</f>
        <v>798</v>
      </c>
      <c r="M66" s="10">
        <f>IF('Model inputs'!M22="","",'Model inputs'!M22)</f>
        <v>798</v>
      </c>
      <c r="N66" s="10">
        <f>IF('Model inputs'!N22="","",'Model inputs'!N22)</f>
        <v>798</v>
      </c>
      <c r="O66" s="10">
        <f>IF('Model inputs'!O22="","",'Model inputs'!O22)</f>
        <v>1197</v>
      </c>
      <c r="P66" s="10">
        <f>IF('Model inputs'!P22="","",'Model inputs'!P22)</f>
        <v>1197</v>
      </c>
      <c r="Q66" s="10">
        <f>IF('Model inputs'!Q22="","",'Model inputs'!Q22)</f>
        <v>1596</v>
      </c>
      <c r="R66" s="10">
        <f>IF('Model inputs'!R22="","",'Model inputs'!R22)</f>
        <v>1596</v>
      </c>
      <c r="S66" s="10">
        <f>IF('Model inputs'!S22="","",'Model inputs'!S22)</f>
        <v>1995</v>
      </c>
      <c r="T66" s="10">
        <f>IF('Model inputs'!T22="","",'Model inputs'!T22)</f>
        <v>1995</v>
      </c>
      <c r="U66" s="10">
        <f>IF('Model inputs'!U22="","",'Model inputs'!U22)</f>
        <v>2394</v>
      </c>
      <c r="V66" s="10">
        <f>IF('Model inputs'!V22="","",'Model inputs'!V22)</f>
        <v>2793</v>
      </c>
      <c r="W66" s="10">
        <f>IF('Model inputs'!W22="","",'Model inputs'!W22)</f>
        <v>2793</v>
      </c>
      <c r="X66" s="10">
        <f>IF('Model inputs'!X22="","",'Model inputs'!X22)</f>
        <v>3192</v>
      </c>
      <c r="Y66" s="10">
        <f>IF('Model inputs'!Y22="","",'Model inputs'!Y22)</f>
        <v>3192</v>
      </c>
      <c r="Z66" s="10">
        <f>0</f>
        <v>0</v>
      </c>
      <c r="AA66" s="10">
        <f>'Model inputs'!AA32*'Model inputs'!AB72</f>
        <v>0</v>
      </c>
    </row>
    <row r="67">
      <c r="A67" t="inlineStr" s="15">
        <is>
          <t xml:space="preserve">Revenue</t>
        </is>
      </c>
      <c r="B67" s="17">
        <f>IF('Model inputs'!B23="","",'Model inputs'!B23)</f>
        <v>0</v>
      </c>
      <c r="C67" s="17">
        <f>IF('Model inputs'!C23="","",'Model inputs'!C23)</f>
        <v>0</v>
      </c>
      <c r="D67" s="17">
        <f>IF('Model inputs'!D23="","",'Model inputs'!D23)</f>
        <v>0</v>
      </c>
      <c r="E67" s="17">
        <f>IF('Model inputs'!E23="","",'Model inputs'!E23)</f>
        <v>696</v>
      </c>
      <c r="F67" s="17">
        <f>IF('Model inputs'!F23="","",'Model inputs'!F23)</f>
        <v>1092</v>
      </c>
      <c r="G67" s="17">
        <f>IF('Model inputs'!G23="","",'Model inputs'!G23)</f>
        <v>1788</v>
      </c>
      <c r="H67" s="17">
        <f>IF('Model inputs'!H23="","",'Model inputs'!H23)</f>
        <v>2583</v>
      </c>
      <c r="I67" s="17">
        <f>IF('Model inputs'!I23="","",'Model inputs'!I23)</f>
        <v>3378</v>
      </c>
      <c r="J67" s="17">
        <f>IF('Model inputs'!J23="","",'Model inputs'!J23)</f>
        <v>4272</v>
      </c>
      <c r="K67" s="17">
        <f>IF('Model inputs'!K23="","",'Model inputs'!K23)</f>
        <v>5067</v>
      </c>
      <c r="L67" s="17">
        <f>IF('Model inputs'!L23="","",'Model inputs'!L23)</f>
        <v>5862</v>
      </c>
      <c r="M67" s="17">
        <f>IF('Model inputs'!M23="","",'Model inputs'!M23)</f>
        <v>6657</v>
      </c>
      <c r="N67" s="17">
        <f>IF('Model inputs'!N23="","",'Model inputs'!N23)</f>
        <v>7551</v>
      </c>
      <c r="O67" s="17">
        <f>IF('Model inputs'!O23="","",'Model inputs'!O23)</f>
        <v>8943</v>
      </c>
      <c r="P67" s="17">
        <f>IF('Model inputs'!P23="","",'Model inputs'!P23)</f>
        <v>9837</v>
      </c>
      <c r="Q67" s="17">
        <f>IF('Model inputs'!Q23="","",'Model inputs'!Q23)</f>
        <v>11229</v>
      </c>
      <c r="R67" s="17">
        <f>IF('Model inputs'!R23="","",'Model inputs'!R23)</f>
        <v>12123</v>
      </c>
      <c r="S67" s="17">
        <f>IF('Model inputs'!S23="","",'Model inputs'!S23)</f>
        <v>13515</v>
      </c>
      <c r="T67" s="17">
        <f>IF('Model inputs'!T23="","",'Model inputs'!T23)</f>
        <v>14409</v>
      </c>
      <c r="U67" s="17">
        <f>IF('Model inputs'!U23="","",'Model inputs'!U23)</f>
        <v>15303</v>
      </c>
      <c r="V67" s="17">
        <f>IF('Model inputs'!V23="","",'Model inputs'!V23)</f>
        <v>16695</v>
      </c>
      <c r="W67" s="17">
        <f>IF('Model inputs'!W23="","",'Model inputs'!W23)</f>
        <v>17589</v>
      </c>
      <c r="X67" s="17">
        <f>IF('Model inputs'!X23="","",'Model inputs'!X23)</f>
        <v>18981</v>
      </c>
      <c r="Y67" s="17">
        <f>IF('Model inputs'!Y23="","",'Model inputs'!Y23)</f>
        <v>19875</v>
      </c>
      <c r="Z67" s="17">
        <f>SUM('Model inputs'!Z68,'Model inputs'!Z69)</f>
        <v>0</v>
      </c>
      <c r="AA67" s="17">
        <f>SUM('Model inputs'!AA68,'Model inputs'!AA69)</f>
        <v>0</v>
      </c>
    </row>
    <row r="68" outlineLevel="1">
      <c r="A68" t="inlineStr" s="16">
        <is>
          <t xml:space="preserve">Revenue &gt; Starter</t>
        </is>
      </c>
      <c r="B68" s="10">
        <f>IF('Model inputs'!B24="","",'Model inputs'!B24)</f>
        <v>0</v>
      </c>
      <c r="C68" s="10">
        <f>IF('Model inputs'!C24="","",'Model inputs'!C24)</f>
        <v>0</v>
      </c>
      <c r="D68" s="10">
        <f>IF('Model inputs'!D24="","",'Model inputs'!D24)</f>
        <v>0</v>
      </c>
      <c r="E68" s="10">
        <f>IF('Model inputs'!E24="","",'Model inputs'!E24)</f>
        <v>297</v>
      </c>
      <c r="F68" s="10">
        <f>IF('Model inputs'!F24="","",'Model inputs'!F24)</f>
        <v>693</v>
      </c>
      <c r="G68" s="10">
        <f>IF('Model inputs'!G24="","",'Model inputs'!G24)</f>
        <v>990</v>
      </c>
      <c r="H68" s="10">
        <f>IF('Model inputs'!H24="","",'Model inputs'!H24)</f>
        <v>1386</v>
      </c>
      <c r="I68" s="10">
        <f>IF('Model inputs'!I24="","",'Model inputs'!I24)</f>
        <v>1782</v>
      </c>
      <c r="J68" s="10">
        <f>IF('Model inputs'!J24="","",'Model inputs'!J24)</f>
        <v>2277</v>
      </c>
      <c r="K68" s="10">
        <f>IF('Model inputs'!K24="","",'Model inputs'!K24)</f>
        <v>2673</v>
      </c>
      <c r="L68" s="10">
        <f>IF('Model inputs'!L24="","",'Model inputs'!L24)</f>
        <v>3069</v>
      </c>
      <c r="M68" s="10">
        <f>IF('Model inputs'!M24="","",'Model inputs'!M24)</f>
        <v>3465</v>
      </c>
      <c r="N68" s="10">
        <f>IF('Model inputs'!N24="","",'Model inputs'!N24)</f>
        <v>3960</v>
      </c>
      <c r="O68" s="10">
        <f>IF('Model inputs'!O24="","",'Model inputs'!O24)</f>
        <v>4554</v>
      </c>
      <c r="P68" s="10">
        <f>IF('Model inputs'!P24="","",'Model inputs'!P24)</f>
        <v>5049</v>
      </c>
      <c r="Q68" s="10">
        <f>IF('Model inputs'!Q24="","",'Model inputs'!Q24)</f>
        <v>5643</v>
      </c>
      <c r="R68" s="10">
        <f>IF('Model inputs'!R24="","",'Model inputs'!R24)</f>
        <v>6138</v>
      </c>
      <c r="S68" s="10">
        <f>IF('Model inputs'!S24="","",'Model inputs'!S24)</f>
        <v>6732</v>
      </c>
      <c r="T68" s="10">
        <f>IF('Model inputs'!T24="","",'Model inputs'!T24)</f>
        <v>7227</v>
      </c>
      <c r="U68" s="10">
        <f>IF('Model inputs'!U24="","",'Model inputs'!U24)</f>
        <v>7722</v>
      </c>
      <c r="V68" s="10">
        <f>IF('Model inputs'!V24="","",'Model inputs'!V24)</f>
        <v>8316</v>
      </c>
      <c r="W68" s="10">
        <f>IF('Model inputs'!W24="","",'Model inputs'!W24)</f>
        <v>8811</v>
      </c>
      <c r="X68" s="10">
        <f>IF('Model inputs'!X24="","",'Model inputs'!X24)</f>
        <v>9405</v>
      </c>
      <c r="Y68" s="10">
        <f>IF('Model inputs'!Y24="","",'Model inputs'!Y24)</f>
        <v>9900</v>
      </c>
      <c r="Z68" s="10">
        <f>0</f>
        <v>0</v>
      </c>
      <c r="AA68" s="10">
        <f>'Model inputs'!AA34*'Model inputs'!AB74</f>
        <v>0</v>
      </c>
    </row>
    <row r="69" outlineLevel="1">
      <c r="A69" t="inlineStr" s="16">
        <is>
          <t xml:space="preserve">Revenue &gt; Team</t>
        </is>
      </c>
      <c r="B69" s="10">
        <f>IF('Model inputs'!B25="","",'Model inputs'!B25)</f>
        <v>0</v>
      </c>
      <c r="C69" s="10">
        <f>IF('Model inputs'!C25="","",'Model inputs'!C25)</f>
        <v>0</v>
      </c>
      <c r="D69" s="10">
        <f>IF('Model inputs'!D25="","",'Model inputs'!D25)</f>
        <v>0</v>
      </c>
      <c r="E69" s="10">
        <f>IF('Model inputs'!E25="","",'Model inputs'!E25)</f>
        <v>399</v>
      </c>
      <c r="F69" s="10">
        <f>IF('Model inputs'!F25="","",'Model inputs'!F25)</f>
        <v>399</v>
      </c>
      <c r="G69" s="10">
        <f>IF('Model inputs'!G25="","",'Model inputs'!G25)</f>
        <v>798</v>
      </c>
      <c r="H69" s="10">
        <f>IF('Model inputs'!H25="","",'Model inputs'!H25)</f>
        <v>1197</v>
      </c>
      <c r="I69" s="10">
        <f>IF('Model inputs'!I25="","",'Model inputs'!I25)</f>
        <v>1596</v>
      </c>
      <c r="J69" s="10">
        <f>IF('Model inputs'!J25="","",'Model inputs'!J25)</f>
        <v>1995</v>
      </c>
      <c r="K69" s="10">
        <f>IF('Model inputs'!K25="","",'Model inputs'!K25)</f>
        <v>2394</v>
      </c>
      <c r="L69" s="10">
        <f>IF('Model inputs'!L25="","",'Model inputs'!L25)</f>
        <v>2793</v>
      </c>
      <c r="M69" s="10">
        <f>IF('Model inputs'!M25="","",'Model inputs'!M25)</f>
        <v>3192</v>
      </c>
      <c r="N69" s="10">
        <f>IF('Model inputs'!N25="","",'Model inputs'!N25)</f>
        <v>3591</v>
      </c>
      <c r="O69" s="10">
        <f>IF('Model inputs'!O25="","",'Model inputs'!O25)</f>
        <v>4389</v>
      </c>
      <c r="P69" s="10">
        <f>IF('Model inputs'!P25="","",'Model inputs'!P25)</f>
        <v>4788</v>
      </c>
      <c r="Q69" s="10">
        <f>IF('Model inputs'!Q25="","",'Model inputs'!Q25)</f>
        <v>5586</v>
      </c>
      <c r="R69" s="10">
        <f>IF('Model inputs'!R25="","",'Model inputs'!R25)</f>
        <v>5985</v>
      </c>
      <c r="S69" s="10">
        <f>IF('Model inputs'!S25="","",'Model inputs'!S25)</f>
        <v>6783</v>
      </c>
      <c r="T69" s="10">
        <f>IF('Model inputs'!T25="","",'Model inputs'!T25)</f>
        <v>7182</v>
      </c>
      <c r="U69" s="10">
        <f>IF('Model inputs'!U25="","",'Model inputs'!U25)</f>
        <v>7581</v>
      </c>
      <c r="V69" s="10">
        <f>IF('Model inputs'!V25="","",'Model inputs'!V25)</f>
        <v>8379</v>
      </c>
      <c r="W69" s="10">
        <f>IF('Model inputs'!W25="","",'Model inputs'!W25)</f>
        <v>8778</v>
      </c>
      <c r="X69" s="10">
        <f>IF('Model inputs'!X25="","",'Model inputs'!X25)</f>
        <v>9576</v>
      </c>
      <c r="Y69" s="10">
        <f>IF('Model inputs'!Y25="","",'Model inputs'!Y25)</f>
        <v>9975</v>
      </c>
      <c r="Z69" s="10">
        <f>0</f>
        <v>0</v>
      </c>
      <c r="AA69" s="10">
        <f>'Model inputs'!AA35*'Model inputs'!AB75</f>
        <v>0</v>
      </c>
    </row>
    <row r="70">
      <c r="A70" t="inlineStr" s="15">
        <is>
          <t xml:space="preserve">Price per month</t>
        </is>
      </c>
      <c r="AB70" s="17">
        <v>0</v>
      </c>
    </row>
    <row r="71" outlineLevel="1">
      <c r="A71" t="inlineStr" s="16">
        <is>
          <t xml:space="preserve">Price per month &gt; Starter</t>
        </is>
      </c>
      <c r="AB71" s="10">
        <f>99</f>
        <v>99</v>
      </c>
    </row>
    <row r="72" outlineLevel="1">
      <c r="A72" t="inlineStr" s="16">
        <is>
          <t xml:space="preserve">Price per month &gt; Team</t>
        </is>
      </c>
      <c r="AB72" s="10">
        <f>399</f>
        <v>399</v>
      </c>
    </row>
    <row r="73">
      <c r="A73" t="inlineStr" s="15">
        <is>
          <t xml:space="preserve">Price per month</t>
        </is>
      </c>
      <c r="AB73" s="17">
        <v>0</v>
      </c>
    </row>
    <row r="74" outlineLevel="1">
      <c r="A74" t="inlineStr" s="16">
        <is>
          <t xml:space="preserve">Price per month &gt; Starter</t>
        </is>
      </c>
      <c r="AB74" s="10">
        <f>99</f>
        <v>99</v>
      </c>
    </row>
    <row r="75" outlineLevel="1">
      <c r="A75" t="inlineStr" s="16">
        <is>
          <t xml:space="preserve">Price per month &gt; Team</t>
        </is>
      </c>
      <c r="AB75" s="10">
        <f>399</f>
        <v>399</v>
      </c>
    </row>
    <row r="76">
      <c r="A76" t="inlineStr" s="15">
        <is>
          <t xml:space="preserve">Crustdata cost · Downside</t>
        </is>
      </c>
      <c r="B76" s="10">
        <f>SUM('Model inputs'!B87,'Model inputs'!B88)</f>
        <v>0</v>
      </c>
      <c r="C76" s="10">
        <f>SUM('Model inputs'!C87,'Model inputs'!C88)</f>
        <v>0</v>
      </c>
      <c r="D76" s="10">
        <f>SUM('Model inputs'!D87,'Model inputs'!D88)</f>
        <v>0</v>
      </c>
      <c r="E76" s="10">
        <f>SUM('Model inputs'!E87,'Model inputs'!E88)</f>
        <v>0</v>
      </c>
      <c r="F76" s="10">
        <f>SUM('Model inputs'!F87,'Model inputs'!F88)</f>
        <v>0</v>
      </c>
      <c r="G76" s="10">
        <f>SUM('Model inputs'!G87,'Model inputs'!G88)</f>
        <v>0</v>
      </c>
      <c r="H76" s="10">
        <f>SUM('Model inputs'!H87,'Model inputs'!H88)</f>
        <v>123.84</v>
      </c>
      <c r="I76" s="10">
        <f>SUM('Model inputs'!I87,'Model inputs'!I88)</f>
        <v>495.36</v>
      </c>
      <c r="J76" s="10">
        <f>SUM('Model inputs'!J87,'Model inputs'!J88)</f>
        <v>619.2</v>
      </c>
      <c r="K76" s="10">
        <f>SUM('Model inputs'!K87,'Model inputs'!K88)</f>
        <v>743.04</v>
      </c>
      <c r="L76" s="10">
        <f>SUM('Model inputs'!L87,'Model inputs'!L88)</f>
        <v>1114.56</v>
      </c>
      <c r="M76" s="10">
        <f>SUM('Model inputs'!M87,'Model inputs'!M88)</f>
        <v>1238.4</v>
      </c>
      <c r="N76" s="10">
        <f>SUM('Model inputs'!N87,'Model inputs'!N88)</f>
        <v>1362.24</v>
      </c>
      <c r="O76" s="10">
        <f>SUM('Model inputs'!O87,'Model inputs'!O88)</f>
        <v>1733.7600000000002</v>
      </c>
      <c r="P76" s="10">
        <f>SUM('Model inputs'!P87,'Model inputs'!P88)</f>
        <v>1857.6000000000001</v>
      </c>
      <c r="Q76" s="10">
        <f>SUM('Model inputs'!Q87,'Model inputs'!Q88)</f>
        <v>2291.04</v>
      </c>
      <c r="R76" s="10">
        <f>SUM('Model inputs'!R87,'Model inputs'!R88)</f>
        <v>2414.88</v>
      </c>
      <c r="S76" s="10">
        <f>SUM('Model inputs'!S87,'Model inputs'!S88)</f>
        <v>2848.3199999999997</v>
      </c>
      <c r="T76" s="10">
        <f>SUM('Model inputs'!T87,'Model inputs'!T88)</f>
        <v>2972.16</v>
      </c>
      <c r="U76" s="10">
        <f>SUM('Model inputs'!U87,'Model inputs'!U88)</f>
        <v>3405.6000000000004</v>
      </c>
      <c r="V76" s="10">
        <f>SUM('Model inputs'!V87,'Model inputs'!V88)</f>
        <v>3900.96</v>
      </c>
      <c r="W76" s="10">
        <f>SUM('Model inputs'!W87,'Model inputs'!W88)</f>
        <v>4024.8</v>
      </c>
      <c r="X76" s="10">
        <f>SUM('Model inputs'!X87,'Model inputs'!X88)</f>
        <v>4458.24</v>
      </c>
      <c r="Y76" s="10">
        <f>SUM('Model inputs'!Y87,'Model inputs'!Y88)</f>
        <v>4582.08</v>
      </c>
      <c r="Z76" s="10">
        <f>SUM('Model inputs'!Z87,'Model inputs'!Z88)</f>
        <v>0</v>
      </c>
      <c r="AA76" s="10">
        <f>SUM('Model inputs'!AA87,'Model inputs'!AA88)</f>
        <v>0</v>
      </c>
    </row>
    <row r="77">
      <c r="A77" t="inlineStr" s="15">
        <is>
          <t xml:space="preserve">Crustdata cost · Growth</t>
        </is>
      </c>
      <c r="B77" s="10">
        <f>SUM('Model inputs'!B90,'Model inputs'!B91)</f>
        <v>0</v>
      </c>
      <c r="C77" s="10">
        <f>SUM('Model inputs'!C90,'Model inputs'!C91)</f>
        <v>0</v>
      </c>
      <c r="D77" s="10">
        <f>SUM('Model inputs'!D90,'Model inputs'!D91)</f>
        <v>0</v>
      </c>
      <c r="E77" s="10">
        <f>SUM('Model inputs'!E90,'Model inputs'!E91)</f>
        <v>199.68</v>
      </c>
      <c r="F77" s="10">
        <f>SUM('Model inputs'!F90,'Model inputs'!F91)</f>
        <v>299.52</v>
      </c>
      <c r="G77" s="10">
        <f>SUM('Model inputs'!G90,'Model inputs'!G91)</f>
        <v>499.20000000000005</v>
      </c>
      <c r="H77" s="10">
        <f>SUM('Model inputs'!H90,'Model inputs'!H91)</f>
        <v>723.84</v>
      </c>
      <c r="I77" s="10">
        <f>SUM('Model inputs'!I90,'Model inputs'!I91)</f>
        <v>948.48</v>
      </c>
      <c r="J77" s="10">
        <f>SUM('Model inputs'!J90,'Model inputs'!J91)</f>
        <v>1198.08</v>
      </c>
      <c r="K77" s="10">
        <f>SUM('Model inputs'!K90,'Model inputs'!K91)</f>
        <v>1422.7200000000003</v>
      </c>
      <c r="L77" s="10">
        <f>SUM('Model inputs'!L90,'Model inputs'!L91)</f>
        <v>1647.3600000000001</v>
      </c>
      <c r="M77" s="10">
        <f>SUM('Model inputs'!M90,'Model inputs'!M91)</f>
        <v>1872</v>
      </c>
      <c r="N77" s="10">
        <f>SUM('Model inputs'!N90,'Model inputs'!N91)</f>
        <v>2121.6000000000004</v>
      </c>
      <c r="O77" s="10">
        <f>SUM('Model inputs'!O90,'Model inputs'!O91)</f>
        <v>2520.96</v>
      </c>
      <c r="P77" s="10">
        <f>SUM('Model inputs'!P90,'Model inputs'!P91)</f>
        <v>2770.5600000000004</v>
      </c>
      <c r="Q77" s="10">
        <f>SUM('Model inputs'!Q90,'Model inputs'!Q91)</f>
        <v>3169.92</v>
      </c>
      <c r="R77" s="10">
        <f>SUM('Model inputs'!R90,'Model inputs'!R91)</f>
        <v>3419.52</v>
      </c>
      <c r="S77" s="10">
        <f>SUM('Model inputs'!S90,'Model inputs'!S91)</f>
        <v>3818.88</v>
      </c>
      <c r="T77" s="10">
        <f>SUM('Model inputs'!T90,'Model inputs'!T91)</f>
        <v>4068.4800000000005</v>
      </c>
      <c r="U77" s="10">
        <f>SUM('Model inputs'!U90,'Model inputs'!U91)</f>
        <v>4318.08</v>
      </c>
      <c r="V77" s="10">
        <f>SUM('Model inputs'!V90,'Model inputs'!V91)</f>
        <v>4717.4400000000005</v>
      </c>
      <c r="W77" s="10">
        <f>SUM('Model inputs'!W90,'Model inputs'!W91)</f>
        <v>4967.04</v>
      </c>
      <c r="X77" s="10">
        <f>SUM('Model inputs'!X90,'Model inputs'!X91)</f>
        <v>5366.400000000001</v>
      </c>
      <c r="Y77" s="10">
        <f>SUM('Model inputs'!Y90,'Model inputs'!Y91)</f>
        <v>5616</v>
      </c>
      <c r="Z77" s="10">
        <f>SUM('Model inputs'!Z90,'Model inputs'!Z91)</f>
        <v>0</v>
      </c>
      <c r="AA77" s="10">
        <f>SUM('Model inputs'!AA90,'Model inputs'!AA91)</f>
        <v>0</v>
      </c>
    </row>
    <row r="78">
      <c r="A78" t="inlineStr" s="15">
        <is>
          <t xml:space="preserve">Founder salary · Downside</t>
        </is>
      </c>
      <c r="B78" s="10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inputs'!AB92="","",'Model inputs'!AB92),0)</f>
        <v>2000</v>
      </c>
      <c r="C78" s="10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inputs'!AB92="","",'Model inputs'!AB92),0)</f>
        <v>2000</v>
      </c>
      <c r="D78" s="10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inputs'!AB92="","",'Model inputs'!AB92),0)</f>
        <v>2000</v>
      </c>
      <c r="E78" s="10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inputs'!AB92="","",'Model inputs'!AB92),0)</f>
        <v>2000</v>
      </c>
      <c r="F78" s="10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inputs'!AB92="","",'Model inputs'!AB92),0)</f>
        <v>2000</v>
      </c>
      <c r="G78" s="10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inputs'!AB92="","",'Model inputs'!AB92),0)</f>
        <v>2000</v>
      </c>
      <c r="H78" s="10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inputs'!AB92="","",'Model inputs'!AB92),0)</f>
        <v>2000</v>
      </c>
      <c r="I78" s="10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inputs'!AB92="","",'Model inputs'!AB92),0)</f>
        <v>2000</v>
      </c>
      <c r="J78" s="10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inputs'!AB92="","",'Model inputs'!AB92),0)</f>
        <v>2000</v>
      </c>
      <c r="K78" s="10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inputs'!AB92="","",'Model inputs'!AB92),0)</f>
        <v>2000</v>
      </c>
      <c r="L78" s="10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inputs'!AB92="","",'Model inputs'!AB92),0)</f>
        <v>2000</v>
      </c>
      <c r="M78" s="10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inputs'!AB92="","",'Model inputs'!AB92),0)</f>
        <v>2000</v>
      </c>
      <c r="N78" s="10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inputs'!AB92="","",'Model inputs'!AB92),0)</f>
        <v>2000</v>
      </c>
      <c r="O78" s="10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inputs'!AB92="","",'Model inputs'!AB92),0)</f>
        <v>2000</v>
      </c>
      <c r="P78" s="10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inputs'!AB92="","",'Model inputs'!AB92),0)</f>
        <v>2000</v>
      </c>
      <c r="Q78" s="10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inputs'!AB92="","",'Model inputs'!AB92),0)</f>
        <v>2000</v>
      </c>
      <c r="R78" s="10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inputs'!AB92="","",'Model inputs'!AB92),0)</f>
        <v>2000</v>
      </c>
      <c r="S78" s="10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inputs'!AB92="","",'Model inputs'!AB92),0)</f>
        <v>2000</v>
      </c>
      <c r="T78" s="10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inputs'!AB92="","",'Model inputs'!AB92),0)</f>
        <v>2000</v>
      </c>
      <c r="U78" s="10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inputs'!AB92="","",'Model inputs'!AB92),0)</f>
        <v>2000</v>
      </c>
      <c r="V78" s="10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inputs'!AB92="","",'Model inputs'!AB92),0)</f>
        <v>2000</v>
      </c>
      <c r="W78" s="10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inputs'!AB92="","",'Model inputs'!AB92),0)</f>
        <v>2000</v>
      </c>
      <c r="X78" s="10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inputs'!AB92="","",'Model inputs'!AB92),0)</f>
        <v>2000</v>
      </c>
      <c r="Y78" s="10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inputs'!AB92="","",'Model inputs'!AB92),0)</f>
        <v>2000</v>
      </c>
      <c r="Z78" s="10">
        <v>0</v>
      </c>
      <c r="AA78" s="10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inputs'!AB92="","",'Model inputs'!AB92),0)</f>
        <v>0</v>
      </c>
    </row>
    <row r="79">
      <c r="A79" t="inlineStr" s="15">
        <is>
          <t xml:space="preserve">Founder salary · Growth</t>
        </is>
      </c>
      <c r="B79" s="10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inputs'!AB93="","",'Model inputs'!AB93),0)</f>
        <v>2000</v>
      </c>
      <c r="C79" s="10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inputs'!AB93="","",'Model inputs'!AB93),0)</f>
        <v>2000</v>
      </c>
      <c r="D79" s="10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inputs'!AB93="","",'Model inputs'!AB93),0)</f>
        <v>2000</v>
      </c>
      <c r="E79" s="10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inputs'!AB93="","",'Model inputs'!AB93),0)</f>
        <v>2000</v>
      </c>
      <c r="F79" s="10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inputs'!AB93="","",'Model inputs'!AB93),0)</f>
        <v>2000</v>
      </c>
      <c r="G79" s="10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inputs'!AB93="","",'Model inputs'!AB93),0)</f>
        <v>2000</v>
      </c>
      <c r="H79" s="10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inputs'!AB93="","",'Model inputs'!AB93),0)</f>
        <v>2000</v>
      </c>
      <c r="I79" s="10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inputs'!AB93="","",'Model inputs'!AB93),0)</f>
        <v>2000</v>
      </c>
      <c r="J79" s="10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inputs'!AB93="","",'Model inputs'!AB93),0)</f>
        <v>2000</v>
      </c>
      <c r="K79" s="10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inputs'!AB93="","",'Model inputs'!AB93),0)</f>
        <v>2000</v>
      </c>
      <c r="L79" s="10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inputs'!AB93="","",'Model inputs'!AB93),0)</f>
        <v>2000</v>
      </c>
      <c r="M79" s="10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inputs'!AB93="","",'Model inputs'!AB93),0)</f>
        <v>2000</v>
      </c>
      <c r="N79" s="10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inputs'!AB93="","",'Model inputs'!AB93),0)</f>
        <v>2000</v>
      </c>
      <c r="O79" s="10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inputs'!AB93="","",'Model inputs'!AB93),0)</f>
        <v>2000</v>
      </c>
      <c r="P79" s="10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inputs'!AB93="","",'Model inputs'!AB93),0)</f>
        <v>2000</v>
      </c>
      <c r="Q79" s="10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inputs'!AB93="","",'Model inputs'!AB93),0)</f>
        <v>2000</v>
      </c>
      <c r="R79" s="10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inputs'!AB93="","",'Model inputs'!AB93),0)</f>
        <v>2000</v>
      </c>
      <c r="S79" s="10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inputs'!AB93="","",'Model inputs'!AB93),0)</f>
        <v>2000</v>
      </c>
      <c r="T79" s="10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inputs'!AB93="","",'Model inputs'!AB93),0)</f>
        <v>2000</v>
      </c>
      <c r="U79" s="10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inputs'!AB93="","",'Model inputs'!AB93),0)</f>
        <v>2000</v>
      </c>
      <c r="V79" s="10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inputs'!AB93="","",'Model inputs'!AB93),0)</f>
        <v>2000</v>
      </c>
      <c r="W79" s="10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inputs'!AB93="","",'Model inputs'!AB93),0)</f>
        <v>2000</v>
      </c>
      <c r="X79" s="10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inputs'!AB93="","",'Model inputs'!AB93),0)</f>
        <v>2000</v>
      </c>
      <c r="Y79" s="10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inputs'!AB93="","",'Model inputs'!AB93),0)</f>
        <v>2000</v>
      </c>
      <c r="Z79" s="10">
        <v>0</v>
      </c>
      <c r="AA79" s="10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inputs'!AB93="","",'Model inputs'!AB93),0)</f>
        <v>0</v>
      </c>
    </row>
    <row r="80">
      <c r="A80" t="inlineStr" s="15">
        <is>
          <t xml:space="preserve">Hosting · Downside</t>
        </is>
      </c>
      <c r="B80" s="18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inputs'!AB94="","",'Model inputs'!AB94),0)</f>
        <v>15.2</v>
      </c>
      <c r="C80" s="18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inputs'!AB94="","",'Model inputs'!AB94),0)</f>
        <v>15.2</v>
      </c>
      <c r="D80" s="18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inputs'!AB94="","",'Model inputs'!AB94),0)</f>
        <v>15.2</v>
      </c>
      <c r="E80" s="18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inputs'!AB94="","",'Model inputs'!AB94),0)</f>
        <v>15.2</v>
      </c>
      <c r="F80" s="18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inputs'!AB94="","",'Model inputs'!AB94),0)</f>
        <v>15.2</v>
      </c>
      <c r="G80" s="18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inputs'!AB94="","",'Model inputs'!AB94),0)</f>
        <v>15.2</v>
      </c>
      <c r="H80" s="18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inputs'!AB94="","",'Model inputs'!AB94),0)</f>
        <v>15.2</v>
      </c>
      <c r="I80" s="18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inputs'!AB94="","",'Model inputs'!AB94),0)</f>
        <v>15.2</v>
      </c>
      <c r="J80" s="18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inputs'!AB94="","",'Model inputs'!AB94),0)</f>
        <v>15.2</v>
      </c>
      <c r="K80" s="18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inputs'!AB94="","",'Model inputs'!AB94),0)</f>
        <v>15.2</v>
      </c>
      <c r="L80" s="18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inputs'!AB94="","",'Model inputs'!AB94),0)</f>
        <v>15.2</v>
      </c>
      <c r="M80" s="18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inputs'!AB94="","",'Model inputs'!AB94),0)</f>
        <v>15.2</v>
      </c>
      <c r="N80" s="18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inputs'!AB94="","",'Model inputs'!AB94),0)</f>
        <v>15.2</v>
      </c>
      <c r="O80" s="18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inputs'!AB94="","",'Model inputs'!AB94),0)</f>
        <v>15.2</v>
      </c>
      <c r="P80" s="18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inputs'!AB94="","",'Model inputs'!AB94),0)</f>
        <v>15.2</v>
      </c>
      <c r="Q80" s="18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inputs'!AB94="","",'Model inputs'!AB94),0)</f>
        <v>15.2</v>
      </c>
      <c r="R80" s="18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inputs'!AB94="","",'Model inputs'!AB94),0)</f>
        <v>15.2</v>
      </c>
      <c r="S80" s="18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inputs'!AB94="","",'Model inputs'!AB94),0)</f>
        <v>15.2</v>
      </c>
      <c r="T80" s="18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inputs'!AB94="","",'Model inputs'!AB94),0)</f>
        <v>15.2</v>
      </c>
      <c r="U80" s="18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inputs'!AB94="","",'Model inputs'!AB94),0)</f>
        <v>15.2</v>
      </c>
      <c r="V80" s="18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inputs'!AB94="","",'Model inputs'!AB94),0)</f>
        <v>15.2</v>
      </c>
      <c r="W80" s="18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inputs'!AB94="","",'Model inputs'!AB94),0)</f>
        <v>15.2</v>
      </c>
      <c r="X80" s="18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inputs'!AB94="","",'Model inputs'!AB94),0)</f>
        <v>15.2</v>
      </c>
      <c r="Y80" s="18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inputs'!AB94="","",'Model inputs'!AB94),0)</f>
        <v>15.2</v>
      </c>
      <c r="Z80" s="18">
        <v>0</v>
      </c>
      <c r="AA80" s="18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inputs'!AB94="","",'Model inputs'!AB94),0)</f>
        <v>0</v>
      </c>
    </row>
    <row r="81">
      <c r="A81" t="inlineStr" s="15">
        <is>
          <t xml:space="preserve">Hosting · Growth</t>
        </is>
      </c>
      <c r="B81" s="18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inputs'!AB95="","",'Model inputs'!AB95),0)</f>
        <v>15.2</v>
      </c>
      <c r="C81" s="18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inputs'!AB95="","",'Model inputs'!AB95),0)</f>
        <v>15.2</v>
      </c>
      <c r="D81" s="18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inputs'!AB95="","",'Model inputs'!AB95),0)</f>
        <v>15.2</v>
      </c>
      <c r="E81" s="18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inputs'!AB95="","",'Model inputs'!AB95),0)</f>
        <v>15.2</v>
      </c>
      <c r="F81" s="18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inputs'!AB95="","",'Model inputs'!AB95),0)</f>
        <v>15.2</v>
      </c>
      <c r="G81" s="18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inputs'!AB95="","",'Model inputs'!AB95),0)</f>
        <v>15.2</v>
      </c>
      <c r="H81" s="18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inputs'!AB95="","",'Model inputs'!AB95),0)</f>
        <v>15.2</v>
      </c>
      <c r="I81" s="18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inputs'!AB95="","",'Model inputs'!AB95),0)</f>
        <v>15.2</v>
      </c>
      <c r="J81" s="18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inputs'!AB95="","",'Model inputs'!AB95),0)</f>
        <v>15.2</v>
      </c>
      <c r="K81" s="18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inputs'!AB95="","",'Model inputs'!AB95),0)</f>
        <v>15.2</v>
      </c>
      <c r="L81" s="18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inputs'!AB95="","",'Model inputs'!AB95),0)</f>
        <v>15.2</v>
      </c>
      <c r="M81" s="18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inputs'!AB95="","",'Model inputs'!AB95),0)</f>
        <v>15.2</v>
      </c>
      <c r="N81" s="18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inputs'!AB95="","",'Model inputs'!AB95),0)</f>
        <v>15.2</v>
      </c>
      <c r="O81" s="18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inputs'!AB95="","",'Model inputs'!AB95),0)</f>
        <v>15.2</v>
      </c>
      <c r="P81" s="18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inputs'!AB95="","",'Model inputs'!AB95),0)</f>
        <v>15.2</v>
      </c>
      <c r="Q81" s="18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inputs'!AB95="","",'Model inputs'!AB95),0)</f>
        <v>15.2</v>
      </c>
      <c r="R81" s="18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inputs'!AB95="","",'Model inputs'!AB95),0)</f>
        <v>15.2</v>
      </c>
      <c r="S81" s="18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inputs'!AB95="","",'Model inputs'!AB95),0)</f>
        <v>15.2</v>
      </c>
      <c r="T81" s="18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inputs'!AB95="","",'Model inputs'!AB95),0)</f>
        <v>15.2</v>
      </c>
      <c r="U81" s="18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inputs'!AB95="","",'Model inputs'!AB95),0)</f>
        <v>15.2</v>
      </c>
      <c r="V81" s="18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inputs'!AB95="","",'Model inputs'!AB95),0)</f>
        <v>15.2</v>
      </c>
      <c r="W81" s="18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inputs'!AB95="","",'Model inputs'!AB95),0)</f>
        <v>15.2</v>
      </c>
      <c r="X81" s="18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inputs'!AB95="","",'Model inputs'!AB95),0)</f>
        <v>15.2</v>
      </c>
      <c r="Y81" s="18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inputs'!AB95="","",'Model inputs'!AB95),0)</f>
        <v>15.2</v>
      </c>
      <c r="Z81" s="18">
        <v>0</v>
      </c>
      <c r="AA81" s="18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inputs'!AB95="","",'Model inputs'!AB95),0)</f>
        <v>0</v>
      </c>
    </row>
    <row r="82">
      <c r="A82" t="inlineStr" s="15">
        <is>
          <t xml:space="preserve">LLM inference cost · Downside</t>
        </is>
      </c>
      <c r="B82" s="18">
        <f>SUM('Model inputs'!B97,'Model inputs'!B98)</f>
        <v>0</v>
      </c>
      <c r="C82" s="18">
        <f>SUM('Model inputs'!C97,'Model inputs'!C98)</f>
        <v>0</v>
      </c>
      <c r="D82" s="18">
        <f>SUM('Model inputs'!D97,'Model inputs'!D98)</f>
        <v>0</v>
      </c>
      <c r="E82" s="18">
        <f>SUM('Model inputs'!E97,'Model inputs'!E98)</f>
        <v>0</v>
      </c>
      <c r="F82" s="18">
        <f>SUM('Model inputs'!F97,'Model inputs'!F98)</f>
        <v>0</v>
      </c>
      <c r="G82" s="18">
        <f>SUM('Model inputs'!G97,'Model inputs'!G98)</f>
        <v>0</v>
      </c>
      <c r="H82" s="18">
        <f>SUM('Model inputs'!H97,'Model inputs'!H98)</f>
        <v>0.64</v>
      </c>
      <c r="I82" s="18">
        <f>SUM('Model inputs'!I97,'Model inputs'!I98)</f>
        <v>2.56</v>
      </c>
      <c r="J82" s="18">
        <f>SUM('Model inputs'!J97,'Model inputs'!J98)</f>
        <v>3.2</v>
      </c>
      <c r="K82" s="18">
        <f>SUM('Model inputs'!K97,'Model inputs'!K98)</f>
        <v>3.8400000000000003</v>
      </c>
      <c r="L82" s="18">
        <f>SUM('Model inputs'!L97,'Model inputs'!L98)</f>
        <v>5.76</v>
      </c>
      <c r="M82" s="18">
        <f>SUM('Model inputs'!M97,'Model inputs'!M98)</f>
        <v>6.4</v>
      </c>
      <c r="N82" s="18">
        <f>SUM('Model inputs'!N97,'Model inputs'!N98)</f>
        <v>7.04</v>
      </c>
      <c r="O82" s="18">
        <f>SUM('Model inputs'!O97,'Model inputs'!O98)</f>
        <v>8.96</v>
      </c>
      <c r="P82" s="18">
        <f>SUM('Model inputs'!P97,'Model inputs'!P98)</f>
        <v>9.6</v>
      </c>
      <c r="Q82" s="18">
        <f>SUM('Model inputs'!Q97,'Model inputs'!Q98)</f>
        <v>11.84</v>
      </c>
      <c r="R82" s="18">
        <f>SUM('Model inputs'!R97,'Model inputs'!R98)</f>
        <v>12.48</v>
      </c>
      <c r="S82" s="18">
        <f>SUM('Model inputs'!S97,'Model inputs'!S98)</f>
        <v>14.719999999999999</v>
      </c>
      <c r="T82" s="18">
        <f>SUM('Model inputs'!T97,'Model inputs'!T98)</f>
        <v>15.36</v>
      </c>
      <c r="U82" s="18">
        <f>SUM('Model inputs'!U97,'Model inputs'!U98)</f>
        <v>17.6</v>
      </c>
      <c r="V82" s="18">
        <f>SUM('Model inputs'!V97,'Model inputs'!V98)</f>
        <v>20.160000000000004</v>
      </c>
      <c r="W82" s="18">
        <f>SUM('Model inputs'!W97,'Model inputs'!W98)</f>
        <v>20.8</v>
      </c>
      <c r="X82" s="18">
        <f>SUM('Model inputs'!X97,'Model inputs'!X98)</f>
        <v>23.04</v>
      </c>
      <c r="Y82" s="18">
        <f>SUM('Model inputs'!Y97,'Model inputs'!Y98)</f>
        <v>23.68</v>
      </c>
      <c r="Z82" s="18">
        <f>SUM('Model inputs'!Z97,'Model inputs'!Z98)</f>
        <v>0</v>
      </c>
      <c r="AA82" s="18">
        <f>SUM('Model inputs'!AA97,'Model inputs'!AA98)</f>
        <v>0</v>
      </c>
    </row>
    <row r="83">
      <c r="A83" t="inlineStr" s="15">
        <is>
          <t xml:space="preserve">LLM inference cost · Growth</t>
        </is>
      </c>
      <c r="B83" s="18">
        <f>SUM('Model inputs'!B100,'Model inputs'!B101)</f>
        <v>0</v>
      </c>
      <c r="C83" s="18">
        <f>SUM('Model inputs'!C100,'Model inputs'!C101)</f>
        <v>0</v>
      </c>
      <c r="D83" s="18">
        <f>SUM('Model inputs'!D100,'Model inputs'!D101)</f>
        <v>0</v>
      </c>
      <c r="E83" s="18">
        <f>SUM('Model inputs'!E100,'Model inputs'!E101)</f>
        <v>1.8240000000000003</v>
      </c>
      <c r="F83" s="18">
        <f>SUM('Model inputs'!F100,'Model inputs'!F101)</f>
        <v>2.736</v>
      </c>
      <c r="G83" s="18">
        <f>SUM('Model inputs'!G100,'Model inputs'!G101)</f>
        <v>4.5600000000000005</v>
      </c>
      <c r="H83" s="18">
        <f>SUM('Model inputs'!H100,'Model inputs'!H101)</f>
        <v>6.612</v>
      </c>
      <c r="I83" s="18">
        <f>SUM('Model inputs'!I100,'Model inputs'!I101)</f>
        <v>8.664000000000001</v>
      </c>
      <c r="J83" s="18">
        <f>SUM('Model inputs'!J100,'Model inputs'!J101)</f>
        <v>10.943999999999999</v>
      </c>
      <c r="K83" s="18">
        <f>SUM('Model inputs'!K100,'Model inputs'!K101)</f>
        <v>12.996</v>
      </c>
      <c r="L83" s="18">
        <f>SUM('Model inputs'!L100,'Model inputs'!L101)</f>
        <v>15.048000000000002</v>
      </c>
      <c r="M83" s="18">
        <f>SUM('Model inputs'!M100,'Model inputs'!M101)</f>
        <v>17.1</v>
      </c>
      <c r="N83" s="18">
        <f>SUM('Model inputs'!N100,'Model inputs'!N101)</f>
        <v>19.380000000000003</v>
      </c>
      <c r="O83" s="18">
        <f>SUM('Model inputs'!O100,'Model inputs'!O101)</f>
        <v>23.028</v>
      </c>
      <c r="P83" s="18">
        <f>SUM('Model inputs'!P100,'Model inputs'!P101)</f>
        <v>25.308</v>
      </c>
      <c r="Q83" s="18">
        <f>SUM('Model inputs'!Q100,'Model inputs'!Q101)</f>
        <v>28.956000000000003</v>
      </c>
      <c r="R83" s="18">
        <f>SUM('Model inputs'!R100,'Model inputs'!R101)</f>
        <v>31.236000000000004</v>
      </c>
      <c r="S83" s="18">
        <f>SUM('Model inputs'!S100,'Model inputs'!S101)</f>
        <v>34.884</v>
      </c>
      <c r="T83" s="18">
        <f>SUM('Model inputs'!T100,'Model inputs'!T101)</f>
        <v>37.164</v>
      </c>
      <c r="U83" s="18">
        <f>SUM('Model inputs'!U100,'Model inputs'!U101)</f>
        <v>39.444</v>
      </c>
      <c r="V83" s="18">
        <f>SUM('Model inputs'!V100,'Model inputs'!V101)</f>
        <v>43.092</v>
      </c>
      <c r="W83" s="18">
        <f>SUM('Model inputs'!W100,'Model inputs'!W101)</f>
        <v>45.372</v>
      </c>
      <c r="X83" s="18">
        <f>SUM('Model inputs'!X100,'Model inputs'!X101)</f>
        <v>49.019999999999996</v>
      </c>
      <c r="Y83" s="18">
        <f>SUM('Model inputs'!Y100,'Model inputs'!Y101)</f>
        <v>51.3</v>
      </c>
      <c r="Z83" s="18">
        <f>SUM('Model inputs'!Z100,'Model inputs'!Z101)</f>
        <v>0</v>
      </c>
      <c r="AA83" s="18">
        <f>SUM('Model inputs'!AA100,'Model inputs'!AA101)</f>
        <v>0</v>
      </c>
    </row>
    <row r="84">
      <c r="A84" t="inlineStr" s="15">
        <is>
          <t xml:space="preserve">Tools and SaaS · Downside</t>
        </is>
      </c>
      <c r="B84" s="10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inputs'!AB102="","",'Model inputs'!AB102),0)</f>
        <v>100</v>
      </c>
      <c r="C84" s="10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inputs'!AB102="","",'Model inputs'!AB102),0)</f>
        <v>100</v>
      </c>
      <c r="D84" s="10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inputs'!AB102="","",'Model inputs'!AB102),0)</f>
        <v>100</v>
      </c>
      <c r="E84" s="10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inputs'!AB102="","",'Model inputs'!AB102),0)</f>
        <v>100</v>
      </c>
      <c r="F84" s="10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inputs'!AB102="","",'Model inputs'!AB102),0)</f>
        <v>100</v>
      </c>
      <c r="G84" s="10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inputs'!AB102="","",'Model inputs'!AB102),0)</f>
        <v>100</v>
      </c>
      <c r="H84" s="10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inputs'!AB102="","",'Model inputs'!AB102),0)</f>
        <v>100</v>
      </c>
      <c r="I84" s="10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inputs'!AB102="","",'Model inputs'!AB102),0)</f>
        <v>100</v>
      </c>
      <c r="J84" s="10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inputs'!AB102="","",'Model inputs'!AB102),0)</f>
        <v>100</v>
      </c>
      <c r="K84" s="10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inputs'!AB102="","",'Model inputs'!AB102),0)</f>
        <v>100</v>
      </c>
      <c r="L84" s="10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inputs'!AB102="","",'Model inputs'!AB102),0)</f>
        <v>100</v>
      </c>
      <c r="M84" s="10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inputs'!AB102="","",'Model inputs'!AB102),0)</f>
        <v>100</v>
      </c>
      <c r="N84" s="10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inputs'!AB102="","",'Model inputs'!AB102),0)</f>
        <v>100</v>
      </c>
      <c r="O84" s="10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inputs'!AB102="","",'Model inputs'!AB102),0)</f>
        <v>100</v>
      </c>
      <c r="P84" s="10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inputs'!AB102="","",'Model inputs'!AB102),0)</f>
        <v>100</v>
      </c>
      <c r="Q84" s="10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inputs'!AB102="","",'Model inputs'!AB102),0)</f>
        <v>100</v>
      </c>
      <c r="R84" s="10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inputs'!AB102="","",'Model inputs'!AB102),0)</f>
        <v>100</v>
      </c>
      <c r="S84" s="10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inputs'!AB102="","",'Model inputs'!AB102),0)</f>
        <v>100</v>
      </c>
      <c r="T84" s="10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inputs'!AB102="","",'Model inputs'!AB102),0)</f>
        <v>100</v>
      </c>
      <c r="U84" s="10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inputs'!AB102="","",'Model inputs'!AB102),0)</f>
        <v>100</v>
      </c>
      <c r="V84" s="10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inputs'!AB102="","",'Model inputs'!AB102),0)</f>
        <v>100</v>
      </c>
      <c r="W84" s="10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inputs'!AB102="","",'Model inputs'!AB102),0)</f>
        <v>100</v>
      </c>
      <c r="X84" s="10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inputs'!AB102="","",'Model inputs'!AB102),0)</f>
        <v>100</v>
      </c>
      <c r="Y84" s="10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inputs'!AB102="","",'Model inputs'!AB102),0)</f>
        <v>100</v>
      </c>
      <c r="Z84" s="10">
        <v>0</v>
      </c>
      <c r="AA84" s="10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inputs'!AB102="","",'Model inputs'!AB102),0)</f>
        <v>0</v>
      </c>
    </row>
    <row r="85">
      <c r="A85" t="inlineStr" s="15">
        <is>
          <t xml:space="preserve">Tools and SaaS · Growth</t>
        </is>
      </c>
      <c r="B85" s="10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inputs'!AB103="","",'Model inputs'!AB103),0)</f>
        <v>100</v>
      </c>
      <c r="C85" s="10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inputs'!AB103="","",'Model inputs'!AB103),0)</f>
        <v>100</v>
      </c>
      <c r="D85" s="10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inputs'!AB103="","",'Model inputs'!AB103),0)</f>
        <v>100</v>
      </c>
      <c r="E85" s="10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inputs'!AB103="","",'Model inputs'!AB103),0)</f>
        <v>100</v>
      </c>
      <c r="F85" s="10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inputs'!AB103="","",'Model inputs'!AB103),0)</f>
        <v>100</v>
      </c>
      <c r="G85" s="10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inputs'!AB103="","",'Model inputs'!AB103),0)</f>
        <v>100</v>
      </c>
      <c r="H85" s="10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inputs'!AB103="","",'Model inputs'!AB103),0)</f>
        <v>100</v>
      </c>
      <c r="I85" s="10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inputs'!AB103="","",'Model inputs'!AB103),0)</f>
        <v>100</v>
      </c>
      <c r="J85" s="10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inputs'!AB103="","",'Model inputs'!AB103),0)</f>
        <v>100</v>
      </c>
      <c r="K85" s="10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inputs'!AB103="","",'Model inputs'!AB103),0)</f>
        <v>100</v>
      </c>
      <c r="L85" s="10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inputs'!AB103="","",'Model inputs'!AB103),0)</f>
        <v>100</v>
      </c>
      <c r="M85" s="10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inputs'!AB103="","",'Model inputs'!AB103),0)</f>
        <v>100</v>
      </c>
      <c r="N85" s="10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inputs'!AB103="","",'Model inputs'!AB103),0)</f>
        <v>100</v>
      </c>
      <c r="O85" s="10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inputs'!AB103="","",'Model inputs'!AB103),0)</f>
        <v>100</v>
      </c>
      <c r="P85" s="10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inputs'!AB103="","",'Model inputs'!AB103),0)</f>
        <v>100</v>
      </c>
      <c r="Q85" s="10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inputs'!AB103="","",'Model inputs'!AB103),0)</f>
        <v>100</v>
      </c>
      <c r="R85" s="10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inputs'!AB103="","",'Model inputs'!AB103),0)</f>
        <v>100</v>
      </c>
      <c r="S85" s="10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inputs'!AB103="","",'Model inputs'!AB103),0)</f>
        <v>100</v>
      </c>
      <c r="T85" s="10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inputs'!AB103="","",'Model inputs'!AB103),0)</f>
        <v>100</v>
      </c>
      <c r="U85" s="10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inputs'!AB103="","",'Model inputs'!AB103),0)</f>
        <v>100</v>
      </c>
      <c r="V85" s="10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inputs'!AB103="","",'Model inputs'!AB103),0)</f>
        <v>100</v>
      </c>
      <c r="W85" s="10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inputs'!AB103="","",'Model inputs'!AB103),0)</f>
        <v>100</v>
      </c>
      <c r="X85" s="10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inputs'!AB103="","",'Model inputs'!AB103),0)</f>
        <v>100</v>
      </c>
      <c r="Y85" s="10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inputs'!AB103="","",'Model inputs'!AB103),0)</f>
        <v>100</v>
      </c>
      <c r="Z85" s="10">
        <v>0</v>
      </c>
      <c r="AA85" s="10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inputs'!AB103="","",'Model inputs'!AB103),0)</f>
        <v>0</v>
      </c>
    </row>
    <row r="86">
      <c r="A86" t="inlineStr" s="15">
        <is>
          <t xml:space="preserve">Crustdata cost</t>
        </is>
      </c>
      <c r="B86" s="17">
        <f>IF('Model inputs'!B76="","",'Model inputs'!B76)</f>
        <v>0</v>
      </c>
      <c r="C86" s="17">
        <f>IF('Model inputs'!C76="","",'Model inputs'!C76)</f>
        <v>0</v>
      </c>
      <c r="D86" s="17">
        <f>IF('Model inputs'!D76="","",'Model inputs'!D76)</f>
        <v>0</v>
      </c>
      <c r="E86" s="17">
        <f>IF('Model inputs'!E76="","",'Model inputs'!E76)</f>
        <v>0</v>
      </c>
      <c r="F86" s="17">
        <f>IF('Model inputs'!F76="","",'Model inputs'!F76)</f>
        <v>0</v>
      </c>
      <c r="G86" s="17">
        <f>IF('Model inputs'!G76="","",'Model inputs'!G76)</f>
        <v>0</v>
      </c>
      <c r="H86" s="17">
        <f>IF('Model inputs'!H76="","",'Model inputs'!H76)</f>
        <v>123.84</v>
      </c>
      <c r="I86" s="17">
        <f>IF('Model inputs'!I76="","",'Model inputs'!I76)</f>
        <v>495.36</v>
      </c>
      <c r="J86" s="17">
        <f>IF('Model inputs'!J76="","",'Model inputs'!J76)</f>
        <v>619.2</v>
      </c>
      <c r="K86" s="17">
        <f>IF('Model inputs'!K76="","",'Model inputs'!K76)</f>
        <v>743.04</v>
      </c>
      <c r="L86" s="17">
        <f>IF('Model inputs'!L76="","",'Model inputs'!L76)</f>
        <v>1114.56</v>
      </c>
      <c r="M86" s="17">
        <f>IF('Model inputs'!M76="","",'Model inputs'!M76)</f>
        <v>1238.4</v>
      </c>
      <c r="N86" s="17">
        <f>IF('Model inputs'!N76="","",'Model inputs'!N76)</f>
        <v>1362.24</v>
      </c>
      <c r="O86" s="17">
        <f>IF('Model inputs'!O76="","",'Model inputs'!O76)</f>
        <v>1733.7600000000002</v>
      </c>
      <c r="P86" s="17">
        <f>IF('Model inputs'!P76="","",'Model inputs'!P76)</f>
        <v>1857.6000000000001</v>
      </c>
      <c r="Q86" s="17">
        <f>IF('Model inputs'!Q76="","",'Model inputs'!Q76)</f>
        <v>2291.04</v>
      </c>
      <c r="R86" s="17">
        <f>IF('Model inputs'!R76="","",'Model inputs'!R76)</f>
        <v>2414.88</v>
      </c>
      <c r="S86" s="17">
        <f>IF('Model inputs'!S76="","",'Model inputs'!S76)</f>
        <v>2848.3199999999997</v>
      </c>
      <c r="T86" s="17">
        <f>IF('Model inputs'!T76="","",'Model inputs'!T76)</f>
        <v>2972.16</v>
      </c>
      <c r="U86" s="17">
        <f>IF('Model inputs'!U76="","",'Model inputs'!U76)</f>
        <v>3405.6000000000004</v>
      </c>
      <c r="V86" s="17">
        <f>IF('Model inputs'!V76="","",'Model inputs'!V76)</f>
        <v>3900.96</v>
      </c>
      <c r="W86" s="17">
        <f>IF('Model inputs'!W76="","",'Model inputs'!W76)</f>
        <v>4024.8</v>
      </c>
      <c r="X86" s="17">
        <f>IF('Model inputs'!X76="","",'Model inputs'!X76)</f>
        <v>4458.24</v>
      </c>
      <c r="Y86" s="17">
        <f>IF('Model inputs'!Y76="","",'Model inputs'!Y76)</f>
        <v>4582.08</v>
      </c>
      <c r="Z86" s="17">
        <f>IF('Model inputs'!Z76="","",'Model inputs'!Z76)</f>
        <v>0</v>
      </c>
      <c r="AA86" s="17">
        <f>IF('Model inputs'!AA76="","",'Model inputs'!AA76)</f>
        <v>0</v>
      </c>
    </row>
    <row r="87" outlineLevel="1">
      <c r="A87" t="inlineStr" s="16">
        <is>
          <t xml:space="preserve">Crustdata cost &gt; Starter</t>
        </is>
      </c>
      <c r="B87" s="10">
        <f>'Model inputs'!B105*(1-'Model inputs'!AB110)*'Model inputs'!AB112</f>
        <v>0</v>
      </c>
      <c r="C87" s="10">
        <f>'Model inputs'!C105*(1-'Model inputs'!AB110)*'Model inputs'!AB112</f>
        <v>0</v>
      </c>
      <c r="D87" s="10">
        <f>'Model inputs'!D105*(1-'Model inputs'!AB110)*'Model inputs'!AB112</f>
        <v>0</v>
      </c>
      <c r="E87" s="10">
        <f>'Model inputs'!E105*(1-'Model inputs'!AB110)*'Model inputs'!AB112</f>
        <v>0</v>
      </c>
      <c r="F87" s="10">
        <f>'Model inputs'!F105*(1-'Model inputs'!AB110)*'Model inputs'!AB112</f>
        <v>0</v>
      </c>
      <c r="G87" s="10">
        <f>'Model inputs'!G105*(1-'Model inputs'!AB110)*'Model inputs'!AB112</f>
        <v>0</v>
      </c>
      <c r="H87" s="10">
        <f>'Model inputs'!H105*(1-'Model inputs'!AB110)*'Model inputs'!AB112</f>
        <v>123.84</v>
      </c>
      <c r="I87" s="10">
        <f>'Model inputs'!I105*(1-'Model inputs'!AB110)*'Model inputs'!AB112</f>
        <v>185.76</v>
      </c>
      <c r="J87" s="10">
        <f>'Model inputs'!J105*(1-'Model inputs'!AB110)*'Model inputs'!AB112</f>
        <v>309.6</v>
      </c>
      <c r="K87" s="10">
        <f>'Model inputs'!K105*(1-'Model inputs'!AB110)*'Model inputs'!AB112</f>
        <v>433.44</v>
      </c>
      <c r="L87" s="10">
        <f>'Model inputs'!L105*(1-'Model inputs'!AB110)*'Model inputs'!AB112</f>
        <v>495.36</v>
      </c>
      <c r="M87" s="10">
        <f>'Model inputs'!M105*(1-'Model inputs'!AB110)*'Model inputs'!AB112</f>
        <v>619.2</v>
      </c>
      <c r="N87" s="10">
        <f>'Model inputs'!N105*(1-'Model inputs'!AB110)*'Model inputs'!AB112</f>
        <v>743.04</v>
      </c>
      <c r="O87" s="10">
        <f>'Model inputs'!O105*(1-'Model inputs'!AB110)*'Model inputs'!AB112</f>
        <v>804.96</v>
      </c>
      <c r="P87" s="10">
        <f>'Model inputs'!P105*(1-'Model inputs'!AB110)*'Model inputs'!AB112</f>
        <v>928.8000000000001</v>
      </c>
      <c r="Q87" s="10">
        <f>'Model inputs'!Q105*(1-'Model inputs'!AB110)*'Model inputs'!AB112</f>
        <v>1052.64</v>
      </c>
      <c r="R87" s="10">
        <f>'Model inputs'!R105*(1-'Model inputs'!AB110)*'Model inputs'!AB112</f>
        <v>1176.48</v>
      </c>
      <c r="S87" s="10">
        <f>'Model inputs'!S105*(1-'Model inputs'!AB110)*'Model inputs'!AB112</f>
        <v>1300.32</v>
      </c>
      <c r="T87" s="10">
        <f>'Model inputs'!T105*(1-'Model inputs'!AB110)*'Model inputs'!AB112</f>
        <v>1424.16</v>
      </c>
      <c r="U87" s="10">
        <f>'Model inputs'!U105*(1-'Model inputs'!AB110)*'Model inputs'!AB112</f>
        <v>1548</v>
      </c>
      <c r="V87" s="10">
        <f>'Model inputs'!V105*(1-'Model inputs'!AB110)*'Model inputs'!AB112</f>
        <v>1733.76</v>
      </c>
      <c r="W87" s="10">
        <f>'Model inputs'!W105*(1-'Model inputs'!AB110)*'Model inputs'!AB112</f>
        <v>1857.6000000000001</v>
      </c>
      <c r="X87" s="10">
        <f>'Model inputs'!X105*(1-'Model inputs'!AB110)*'Model inputs'!AB112</f>
        <v>1981.44</v>
      </c>
      <c r="Y87" s="10">
        <f>'Model inputs'!Y105*(1-'Model inputs'!AB110)*'Model inputs'!AB112</f>
        <v>2105.28</v>
      </c>
      <c r="Z87" s="10">
        <f>0</f>
        <v>0</v>
      </c>
      <c r="AA87" s="10">
        <f>'Model inputs'!AA105*(1-'Model inputs'!AB110)*'Model inputs'!AB112</f>
        <v>0</v>
      </c>
    </row>
    <row r="88" outlineLevel="1">
      <c r="A88" t="inlineStr" s="16">
        <is>
          <t xml:space="preserve">Crustdata cost &gt; Team</t>
        </is>
      </c>
      <c r="B88" s="10">
        <f>'Model inputs'!B106*(1-'Model inputs'!AB110)*'Model inputs'!AB112</f>
        <v>0</v>
      </c>
      <c r="C88" s="10">
        <f>'Model inputs'!C106*(1-'Model inputs'!AB110)*'Model inputs'!AB112</f>
        <v>0</v>
      </c>
      <c r="D88" s="10">
        <f>'Model inputs'!D106*(1-'Model inputs'!AB110)*'Model inputs'!AB112</f>
        <v>0</v>
      </c>
      <c r="E88" s="10">
        <f>'Model inputs'!E106*(1-'Model inputs'!AB110)*'Model inputs'!AB112</f>
        <v>0</v>
      </c>
      <c r="F88" s="10">
        <f>'Model inputs'!F106*(1-'Model inputs'!AB110)*'Model inputs'!AB112</f>
        <v>0</v>
      </c>
      <c r="G88" s="10">
        <f>'Model inputs'!G106*(1-'Model inputs'!AB110)*'Model inputs'!AB112</f>
        <v>0</v>
      </c>
      <c r="H88" s="10">
        <f>'Model inputs'!H106*(1-'Model inputs'!AB110)*'Model inputs'!AB112</f>
        <v>0</v>
      </c>
      <c r="I88" s="10">
        <f>'Model inputs'!I106*(1-'Model inputs'!AB110)*'Model inputs'!AB112</f>
        <v>309.6</v>
      </c>
      <c r="J88" s="10">
        <f>'Model inputs'!J106*(1-'Model inputs'!AB110)*'Model inputs'!AB112</f>
        <v>309.6</v>
      </c>
      <c r="K88" s="10">
        <f>'Model inputs'!K106*(1-'Model inputs'!AB110)*'Model inputs'!AB112</f>
        <v>309.6</v>
      </c>
      <c r="L88" s="10">
        <f>'Model inputs'!L106*(1-'Model inputs'!AB110)*'Model inputs'!AB112</f>
        <v>619.2</v>
      </c>
      <c r="M88" s="10">
        <f>'Model inputs'!M106*(1-'Model inputs'!AB110)*'Model inputs'!AB112</f>
        <v>619.2</v>
      </c>
      <c r="N88" s="10">
        <f>'Model inputs'!N106*(1-'Model inputs'!AB110)*'Model inputs'!AB112</f>
        <v>619.2</v>
      </c>
      <c r="O88" s="10">
        <f>'Model inputs'!O106*(1-'Model inputs'!AB110)*'Model inputs'!AB112</f>
        <v>928.8000000000001</v>
      </c>
      <c r="P88" s="10">
        <f>'Model inputs'!P106*(1-'Model inputs'!AB110)*'Model inputs'!AB112</f>
        <v>928.8000000000001</v>
      </c>
      <c r="Q88" s="10">
        <f>'Model inputs'!Q106*(1-'Model inputs'!AB110)*'Model inputs'!AB112</f>
        <v>1238.4</v>
      </c>
      <c r="R88" s="10">
        <f>'Model inputs'!R106*(1-'Model inputs'!AB110)*'Model inputs'!AB112</f>
        <v>1238.4</v>
      </c>
      <c r="S88" s="10">
        <f>'Model inputs'!S106*(1-'Model inputs'!AB110)*'Model inputs'!AB112</f>
        <v>1548</v>
      </c>
      <c r="T88" s="10">
        <f>'Model inputs'!T106*(1-'Model inputs'!AB110)*'Model inputs'!AB112</f>
        <v>1548</v>
      </c>
      <c r="U88" s="10">
        <f>'Model inputs'!U106*(1-'Model inputs'!AB110)*'Model inputs'!AB112</f>
        <v>1857.6000000000001</v>
      </c>
      <c r="V88" s="10">
        <f>'Model inputs'!V106*(1-'Model inputs'!AB110)*'Model inputs'!AB112</f>
        <v>2167.2000000000003</v>
      </c>
      <c r="W88" s="10">
        <f>'Model inputs'!W106*(1-'Model inputs'!AB110)*'Model inputs'!AB112</f>
        <v>2167.2000000000003</v>
      </c>
      <c r="X88" s="10">
        <f>'Model inputs'!X106*(1-'Model inputs'!AB110)*'Model inputs'!AB112</f>
        <v>2476.8</v>
      </c>
      <c r="Y88" s="10">
        <f>'Model inputs'!Y106*(1-'Model inputs'!AB110)*'Model inputs'!AB112</f>
        <v>2476.8</v>
      </c>
      <c r="Z88" s="10">
        <f>0</f>
        <v>0</v>
      </c>
      <c r="AA88" s="10">
        <f>'Model inputs'!AA106*(1-'Model inputs'!AB110)*'Model inputs'!AB112</f>
        <v>0</v>
      </c>
    </row>
    <row r="89">
      <c r="A89" t="inlineStr" s="15">
        <is>
          <t xml:space="preserve">Crustdata cost</t>
        </is>
      </c>
      <c r="B89" s="17">
        <f>IF('Model inputs'!B77="","",'Model inputs'!B77)</f>
        <v>0</v>
      </c>
      <c r="C89" s="17">
        <f>IF('Model inputs'!C77="","",'Model inputs'!C77)</f>
        <v>0</v>
      </c>
      <c r="D89" s="17">
        <f>IF('Model inputs'!D77="","",'Model inputs'!D77)</f>
        <v>0</v>
      </c>
      <c r="E89" s="17">
        <f>IF('Model inputs'!E77="","",'Model inputs'!E77)</f>
        <v>199.68</v>
      </c>
      <c r="F89" s="17">
        <f>IF('Model inputs'!F77="","",'Model inputs'!F77)</f>
        <v>299.52</v>
      </c>
      <c r="G89" s="17">
        <f>IF('Model inputs'!G77="","",'Model inputs'!G77)</f>
        <v>499.20000000000005</v>
      </c>
      <c r="H89" s="17">
        <f>IF('Model inputs'!H77="","",'Model inputs'!H77)</f>
        <v>723.84</v>
      </c>
      <c r="I89" s="17">
        <f>IF('Model inputs'!I77="","",'Model inputs'!I77)</f>
        <v>948.48</v>
      </c>
      <c r="J89" s="17">
        <f>IF('Model inputs'!J77="","",'Model inputs'!J77)</f>
        <v>1198.08</v>
      </c>
      <c r="K89" s="17">
        <f>IF('Model inputs'!K77="","",'Model inputs'!K77)</f>
        <v>1422.7200000000003</v>
      </c>
      <c r="L89" s="17">
        <f>IF('Model inputs'!L77="","",'Model inputs'!L77)</f>
        <v>1647.3600000000001</v>
      </c>
      <c r="M89" s="17">
        <f>IF('Model inputs'!M77="","",'Model inputs'!M77)</f>
        <v>1872</v>
      </c>
      <c r="N89" s="17">
        <f>IF('Model inputs'!N77="","",'Model inputs'!N77)</f>
        <v>2121.6000000000004</v>
      </c>
      <c r="O89" s="17">
        <f>IF('Model inputs'!O77="","",'Model inputs'!O77)</f>
        <v>2520.96</v>
      </c>
      <c r="P89" s="17">
        <f>IF('Model inputs'!P77="","",'Model inputs'!P77)</f>
        <v>2770.5600000000004</v>
      </c>
      <c r="Q89" s="17">
        <f>IF('Model inputs'!Q77="","",'Model inputs'!Q77)</f>
        <v>3169.92</v>
      </c>
      <c r="R89" s="17">
        <f>IF('Model inputs'!R77="","",'Model inputs'!R77)</f>
        <v>3419.52</v>
      </c>
      <c r="S89" s="17">
        <f>IF('Model inputs'!S77="","",'Model inputs'!S77)</f>
        <v>3818.88</v>
      </c>
      <c r="T89" s="17">
        <f>IF('Model inputs'!T77="","",'Model inputs'!T77)</f>
        <v>4068.4800000000005</v>
      </c>
      <c r="U89" s="17">
        <f>IF('Model inputs'!U77="","",'Model inputs'!U77)</f>
        <v>4318.08</v>
      </c>
      <c r="V89" s="17">
        <f>IF('Model inputs'!V77="","",'Model inputs'!V77)</f>
        <v>4717.4400000000005</v>
      </c>
      <c r="W89" s="17">
        <f>IF('Model inputs'!W77="","",'Model inputs'!W77)</f>
        <v>4967.04</v>
      </c>
      <c r="X89" s="17">
        <f>IF('Model inputs'!X77="","",'Model inputs'!X77)</f>
        <v>5366.400000000001</v>
      </c>
      <c r="Y89" s="17">
        <f>IF('Model inputs'!Y77="","",'Model inputs'!Y77)</f>
        <v>5616</v>
      </c>
      <c r="Z89" s="17">
        <f>IF('Model inputs'!Z77="","",'Model inputs'!Z77)</f>
        <v>0</v>
      </c>
      <c r="AA89" s="17">
        <f>IF('Model inputs'!AA77="","",'Model inputs'!AA77)</f>
        <v>0</v>
      </c>
    </row>
    <row r="90" outlineLevel="1">
      <c r="A90" t="inlineStr" s="16">
        <is>
          <t xml:space="preserve">Crustdata cost &gt; Starter</t>
        </is>
      </c>
      <c r="B90" s="10">
        <f>'Model inputs'!B108*(1-'Model inputs'!AB111)*'Model inputs'!AB113</f>
        <v>0</v>
      </c>
      <c r="C90" s="10">
        <f>'Model inputs'!C108*(1-'Model inputs'!AB111)*'Model inputs'!AB113</f>
        <v>0</v>
      </c>
      <c r="D90" s="10">
        <f>'Model inputs'!D108*(1-'Model inputs'!AB111)*'Model inputs'!AB113</f>
        <v>0</v>
      </c>
      <c r="E90" s="10">
        <f>'Model inputs'!E108*(1-'Model inputs'!AB111)*'Model inputs'!AB113</f>
        <v>74.88</v>
      </c>
      <c r="F90" s="10">
        <f>'Model inputs'!F108*(1-'Model inputs'!AB111)*'Model inputs'!AB113</f>
        <v>174.72</v>
      </c>
      <c r="G90" s="10">
        <f>'Model inputs'!G108*(1-'Model inputs'!AB111)*'Model inputs'!AB113</f>
        <v>249.60000000000002</v>
      </c>
      <c r="H90" s="10">
        <f>'Model inputs'!H108*(1-'Model inputs'!AB111)*'Model inputs'!AB113</f>
        <v>349.44</v>
      </c>
      <c r="I90" s="10">
        <f>'Model inputs'!I108*(1-'Model inputs'!AB111)*'Model inputs'!AB113</f>
        <v>449.28000000000003</v>
      </c>
      <c r="J90" s="10">
        <f>'Model inputs'!J108*(1-'Model inputs'!AB111)*'Model inputs'!AB113</f>
        <v>574.08</v>
      </c>
      <c r="K90" s="10">
        <f>'Model inputs'!K108*(1-'Model inputs'!AB111)*'Model inputs'!AB113</f>
        <v>673.9200000000001</v>
      </c>
      <c r="L90" s="10">
        <f>'Model inputs'!L108*(1-'Model inputs'!AB111)*'Model inputs'!AB113</f>
        <v>773.76</v>
      </c>
      <c r="M90" s="10">
        <f>'Model inputs'!M108*(1-'Model inputs'!AB111)*'Model inputs'!AB113</f>
        <v>873.6</v>
      </c>
      <c r="N90" s="10">
        <f>'Model inputs'!N108*(1-'Model inputs'!AB111)*'Model inputs'!AB113</f>
        <v>998.4000000000001</v>
      </c>
      <c r="O90" s="10">
        <f>'Model inputs'!O108*(1-'Model inputs'!AB111)*'Model inputs'!AB113</f>
        <v>1148.16</v>
      </c>
      <c r="P90" s="10">
        <f>'Model inputs'!P108*(1-'Model inputs'!AB111)*'Model inputs'!AB113</f>
        <v>1272.96</v>
      </c>
      <c r="Q90" s="10">
        <f>'Model inputs'!Q108*(1-'Model inputs'!AB111)*'Model inputs'!AB113</f>
        <v>1422.72</v>
      </c>
      <c r="R90" s="10">
        <f>'Model inputs'!R108*(1-'Model inputs'!AB111)*'Model inputs'!AB113</f>
        <v>1547.52</v>
      </c>
      <c r="S90" s="10">
        <f>'Model inputs'!S108*(1-'Model inputs'!AB111)*'Model inputs'!AB113</f>
        <v>1697.28</v>
      </c>
      <c r="T90" s="10">
        <f>'Model inputs'!T108*(1-'Model inputs'!AB111)*'Model inputs'!AB113</f>
        <v>1822.0800000000002</v>
      </c>
      <c r="U90" s="10">
        <f>'Model inputs'!U108*(1-'Model inputs'!AB111)*'Model inputs'!AB113</f>
        <v>1946.88</v>
      </c>
      <c r="V90" s="10">
        <f>'Model inputs'!V108*(1-'Model inputs'!AB111)*'Model inputs'!AB113</f>
        <v>2096.64</v>
      </c>
      <c r="W90" s="10">
        <f>'Model inputs'!W108*(1-'Model inputs'!AB111)*'Model inputs'!AB113</f>
        <v>2221.44</v>
      </c>
      <c r="X90" s="10">
        <f>'Model inputs'!X108*(1-'Model inputs'!AB111)*'Model inputs'!AB113</f>
        <v>2371.2000000000003</v>
      </c>
      <c r="Y90" s="10">
        <f>'Model inputs'!Y108*(1-'Model inputs'!AB111)*'Model inputs'!AB113</f>
        <v>2496</v>
      </c>
      <c r="Z90" s="10">
        <f>0</f>
        <v>0</v>
      </c>
      <c r="AA90" s="10">
        <f>'Model inputs'!AA108*(1-'Model inputs'!AB111)*'Model inputs'!AB113</f>
        <v>0</v>
      </c>
    </row>
    <row r="91" outlineLevel="1">
      <c r="A91" t="inlineStr" s="16">
        <is>
          <t xml:space="preserve">Crustdata cost &gt; Team</t>
        </is>
      </c>
      <c r="B91" s="10">
        <f>'Model inputs'!B109*(1-'Model inputs'!AB111)*'Model inputs'!AB113</f>
        <v>0</v>
      </c>
      <c r="C91" s="10">
        <f>'Model inputs'!C109*(1-'Model inputs'!AB111)*'Model inputs'!AB113</f>
        <v>0</v>
      </c>
      <c r="D91" s="10">
        <f>'Model inputs'!D109*(1-'Model inputs'!AB111)*'Model inputs'!AB113</f>
        <v>0</v>
      </c>
      <c r="E91" s="10">
        <f>'Model inputs'!E109*(1-'Model inputs'!AB111)*'Model inputs'!AB113</f>
        <v>124.80000000000001</v>
      </c>
      <c r="F91" s="10">
        <f>'Model inputs'!F109*(1-'Model inputs'!AB111)*'Model inputs'!AB113</f>
        <v>124.80000000000001</v>
      </c>
      <c r="G91" s="10">
        <f>'Model inputs'!G109*(1-'Model inputs'!AB111)*'Model inputs'!AB113</f>
        <v>249.60000000000002</v>
      </c>
      <c r="H91" s="10">
        <f>'Model inputs'!H109*(1-'Model inputs'!AB111)*'Model inputs'!AB113</f>
        <v>374.40000000000003</v>
      </c>
      <c r="I91" s="10">
        <f>'Model inputs'!I109*(1-'Model inputs'!AB111)*'Model inputs'!AB113</f>
        <v>499.20000000000005</v>
      </c>
      <c r="J91" s="10">
        <f>'Model inputs'!J109*(1-'Model inputs'!AB111)*'Model inputs'!AB113</f>
        <v>624</v>
      </c>
      <c r="K91" s="10">
        <f>'Model inputs'!K109*(1-'Model inputs'!AB111)*'Model inputs'!AB113</f>
        <v>748.8000000000001</v>
      </c>
      <c r="L91" s="10">
        <f>'Model inputs'!L109*(1-'Model inputs'!AB111)*'Model inputs'!AB113</f>
        <v>873.6</v>
      </c>
      <c r="M91" s="10">
        <f>'Model inputs'!M109*(1-'Model inputs'!AB111)*'Model inputs'!AB113</f>
        <v>998.4000000000001</v>
      </c>
      <c r="N91" s="10">
        <f>'Model inputs'!N109*(1-'Model inputs'!AB111)*'Model inputs'!AB113</f>
        <v>1123.2</v>
      </c>
      <c r="O91" s="10">
        <f>'Model inputs'!O109*(1-'Model inputs'!AB111)*'Model inputs'!AB113</f>
        <v>1372.8</v>
      </c>
      <c r="P91" s="10">
        <f>'Model inputs'!P109*(1-'Model inputs'!AB111)*'Model inputs'!AB113</f>
        <v>1497.6000000000001</v>
      </c>
      <c r="Q91" s="10">
        <f>'Model inputs'!Q109*(1-'Model inputs'!AB111)*'Model inputs'!AB113</f>
        <v>1747.2</v>
      </c>
      <c r="R91" s="10">
        <f>'Model inputs'!R109*(1-'Model inputs'!AB111)*'Model inputs'!AB113</f>
        <v>1872</v>
      </c>
      <c r="S91" s="10">
        <f>'Model inputs'!S109*(1-'Model inputs'!AB111)*'Model inputs'!AB113</f>
        <v>2121.6</v>
      </c>
      <c r="T91" s="10">
        <f>'Model inputs'!T109*(1-'Model inputs'!AB111)*'Model inputs'!AB113</f>
        <v>2246.4</v>
      </c>
      <c r="U91" s="10">
        <f>'Model inputs'!U109*(1-'Model inputs'!AB111)*'Model inputs'!AB113</f>
        <v>2371.2000000000003</v>
      </c>
      <c r="V91" s="10">
        <f>'Model inputs'!V109*(1-'Model inputs'!AB111)*'Model inputs'!AB113</f>
        <v>2620.8</v>
      </c>
      <c r="W91" s="10">
        <f>'Model inputs'!W109*(1-'Model inputs'!AB111)*'Model inputs'!AB113</f>
        <v>2745.6</v>
      </c>
      <c r="X91" s="10">
        <f>'Model inputs'!X109*(1-'Model inputs'!AB111)*'Model inputs'!AB113</f>
        <v>2995.2000000000003</v>
      </c>
      <c r="Y91" s="10">
        <f>'Model inputs'!Y109*(1-'Model inputs'!AB111)*'Model inputs'!AB113</f>
        <v>3120</v>
      </c>
      <c r="Z91" s="10">
        <f>0</f>
        <v>0</v>
      </c>
      <c r="AA91" s="10">
        <f>'Model inputs'!AA109*(1-'Model inputs'!AB111)*'Model inputs'!AB113</f>
        <v>0</v>
      </c>
    </row>
    <row r="92">
      <c r="A92" t="inlineStr" s="15">
        <is>
          <t xml:space="preserve">Founder salary per month · Founder salary · Downside · Downside</t>
        </is>
      </c>
      <c r="AB92" s="10">
        <f>2000</f>
        <v>2000</v>
      </c>
    </row>
    <row r="93">
      <c r="A93" t="inlineStr" s="15">
        <is>
          <t xml:space="preserve">Founder salary per month · Founder salary · Growth · Growth</t>
        </is>
      </c>
      <c r="AB93" s="10">
        <f>2000</f>
        <v>2000</v>
      </c>
    </row>
    <row r="94">
      <c r="A94" t="inlineStr" s="15">
        <is>
          <t xml:space="preserve">Hosting per month · Hosting · Downside · Downside</t>
        </is>
      </c>
      <c r="AB94" s="18">
        <f>15.2</f>
        <v>15.2</v>
      </c>
    </row>
    <row r="95">
      <c r="A95" t="inlineStr" s="15">
        <is>
          <t xml:space="preserve">Hosting per month · Hosting · Growth · Growth</t>
        </is>
      </c>
      <c r="AB95" s="18">
        <f>15.2</f>
        <v>15.2</v>
      </c>
    </row>
    <row r="96">
      <c r="A96" t="inlineStr" s="15">
        <is>
          <t xml:space="preserve">LLM inference cost</t>
        </is>
      </c>
      <c r="B96" s="19">
        <f>IF('Model inputs'!B82="","",'Model inputs'!B82)</f>
        <v>0</v>
      </c>
      <c r="C96" s="19">
        <f>IF('Model inputs'!C82="","",'Model inputs'!C82)</f>
        <v>0</v>
      </c>
      <c r="D96" s="19">
        <f>IF('Model inputs'!D82="","",'Model inputs'!D82)</f>
        <v>0</v>
      </c>
      <c r="E96" s="19">
        <f>IF('Model inputs'!E82="","",'Model inputs'!E82)</f>
        <v>0</v>
      </c>
      <c r="F96" s="19">
        <f>IF('Model inputs'!F82="","",'Model inputs'!F82)</f>
        <v>0</v>
      </c>
      <c r="G96" s="19">
        <f>IF('Model inputs'!G82="","",'Model inputs'!G82)</f>
        <v>0</v>
      </c>
      <c r="H96" s="19">
        <f>IF('Model inputs'!H82="","",'Model inputs'!H82)</f>
        <v>0.64</v>
      </c>
      <c r="I96" s="19">
        <f>IF('Model inputs'!I82="","",'Model inputs'!I82)</f>
        <v>2.56</v>
      </c>
      <c r="J96" s="19">
        <f>IF('Model inputs'!J82="","",'Model inputs'!J82)</f>
        <v>3.2</v>
      </c>
      <c r="K96" s="19">
        <f>IF('Model inputs'!K82="","",'Model inputs'!K82)</f>
        <v>3.8400000000000003</v>
      </c>
      <c r="L96" s="19">
        <f>IF('Model inputs'!L82="","",'Model inputs'!L82)</f>
        <v>5.76</v>
      </c>
      <c r="M96" s="19">
        <f>IF('Model inputs'!M82="","",'Model inputs'!M82)</f>
        <v>6.4</v>
      </c>
      <c r="N96" s="19">
        <f>IF('Model inputs'!N82="","",'Model inputs'!N82)</f>
        <v>7.04</v>
      </c>
      <c r="O96" s="19">
        <f>IF('Model inputs'!O82="","",'Model inputs'!O82)</f>
        <v>8.96</v>
      </c>
      <c r="P96" s="19">
        <f>IF('Model inputs'!P82="","",'Model inputs'!P82)</f>
        <v>9.6</v>
      </c>
      <c r="Q96" s="19">
        <f>IF('Model inputs'!Q82="","",'Model inputs'!Q82)</f>
        <v>11.84</v>
      </c>
      <c r="R96" s="19">
        <f>IF('Model inputs'!R82="","",'Model inputs'!R82)</f>
        <v>12.48</v>
      </c>
      <c r="S96" s="19">
        <f>IF('Model inputs'!S82="","",'Model inputs'!S82)</f>
        <v>14.719999999999999</v>
      </c>
      <c r="T96" s="19">
        <f>IF('Model inputs'!T82="","",'Model inputs'!T82)</f>
        <v>15.36</v>
      </c>
      <c r="U96" s="19">
        <f>IF('Model inputs'!U82="","",'Model inputs'!U82)</f>
        <v>17.6</v>
      </c>
      <c r="V96" s="19">
        <f>IF('Model inputs'!V82="","",'Model inputs'!V82)</f>
        <v>20.160000000000004</v>
      </c>
      <c r="W96" s="19">
        <f>IF('Model inputs'!W82="","",'Model inputs'!W82)</f>
        <v>20.8</v>
      </c>
      <c r="X96" s="19">
        <f>IF('Model inputs'!X82="","",'Model inputs'!X82)</f>
        <v>23.04</v>
      </c>
      <c r="Y96" s="19">
        <f>IF('Model inputs'!Y82="","",'Model inputs'!Y82)</f>
        <v>23.68</v>
      </c>
      <c r="Z96" s="19">
        <f>IF('Model inputs'!Z82="","",'Model inputs'!Z82)</f>
        <v>0</v>
      </c>
      <c r="AA96" s="19">
        <f>IF('Model inputs'!AA82="","",'Model inputs'!AA82)</f>
        <v>0</v>
      </c>
    </row>
    <row r="97" outlineLevel="1">
      <c r="A97" t="inlineStr" s="16">
        <is>
          <t xml:space="preserve">LLM inference cost &gt; Starter</t>
        </is>
      </c>
      <c r="B97" s="18">
        <f>'Model inputs'!B105*'Model inputs'!AB114</f>
        <v>0</v>
      </c>
      <c r="C97" s="18">
        <f>'Model inputs'!C105*'Model inputs'!AB114</f>
        <v>0</v>
      </c>
      <c r="D97" s="18">
        <f>'Model inputs'!D105*'Model inputs'!AB114</f>
        <v>0</v>
      </c>
      <c r="E97" s="18">
        <f>'Model inputs'!E105*'Model inputs'!AB114</f>
        <v>0</v>
      </c>
      <c r="F97" s="18">
        <f>'Model inputs'!F105*'Model inputs'!AB114</f>
        <v>0</v>
      </c>
      <c r="G97" s="18">
        <f>'Model inputs'!G105*'Model inputs'!AB114</f>
        <v>0</v>
      </c>
      <c r="H97" s="18">
        <f>'Model inputs'!H105*'Model inputs'!AB114</f>
        <v>0.64</v>
      </c>
      <c r="I97" s="18">
        <f>'Model inputs'!I105*'Model inputs'!AB114</f>
        <v>0.96</v>
      </c>
      <c r="J97" s="18">
        <f>'Model inputs'!J105*'Model inputs'!AB114</f>
        <v>1.6</v>
      </c>
      <c r="K97" s="18">
        <f>'Model inputs'!K105*'Model inputs'!AB114</f>
        <v>2.24</v>
      </c>
      <c r="L97" s="18">
        <f>'Model inputs'!L105*'Model inputs'!AB114</f>
        <v>2.56</v>
      </c>
      <c r="M97" s="18">
        <f>'Model inputs'!M105*'Model inputs'!AB114</f>
        <v>3.2</v>
      </c>
      <c r="N97" s="18">
        <f>'Model inputs'!N105*'Model inputs'!AB114</f>
        <v>3.84</v>
      </c>
      <c r="O97" s="18">
        <f>'Model inputs'!O105*'Model inputs'!AB114</f>
        <v>4.16</v>
      </c>
      <c r="P97" s="18">
        <f>'Model inputs'!P105*'Model inputs'!AB114</f>
        <v>4.8</v>
      </c>
      <c r="Q97" s="18">
        <f>'Model inputs'!Q105*'Model inputs'!AB114</f>
        <v>5.44</v>
      </c>
      <c r="R97" s="18">
        <f>'Model inputs'!R105*'Model inputs'!AB114</f>
        <v>6.08</v>
      </c>
      <c r="S97" s="18">
        <f>'Model inputs'!S105*'Model inputs'!AB114</f>
        <v>6.72</v>
      </c>
      <c r="T97" s="18">
        <f>'Model inputs'!T105*'Model inputs'!AB114</f>
        <v>7.36</v>
      </c>
      <c r="U97" s="18">
        <f>'Model inputs'!U105*'Model inputs'!AB114</f>
        <v>8</v>
      </c>
      <c r="V97" s="18">
        <f>'Model inputs'!V105*'Model inputs'!AB114</f>
        <v>8.96</v>
      </c>
      <c r="W97" s="18">
        <f>'Model inputs'!W105*'Model inputs'!AB114</f>
        <v>9.6</v>
      </c>
      <c r="X97" s="18">
        <f>'Model inputs'!X105*'Model inputs'!AB114</f>
        <v>10.24</v>
      </c>
      <c r="Y97" s="18">
        <f>'Model inputs'!Y105*'Model inputs'!AB114</f>
        <v>10.88</v>
      </c>
      <c r="Z97" s="18">
        <f>0</f>
        <v>0</v>
      </c>
      <c r="AA97" s="18">
        <f>'Model inputs'!AA105*'Model inputs'!AB114</f>
        <v>0</v>
      </c>
    </row>
    <row r="98" outlineLevel="1">
      <c r="A98" t="inlineStr" s="16">
        <is>
          <t xml:space="preserve">LLM inference cost &gt; Team</t>
        </is>
      </c>
      <c r="B98" s="18">
        <f>'Model inputs'!B106*'Model inputs'!AB114</f>
        <v>0</v>
      </c>
      <c r="C98" s="18">
        <f>'Model inputs'!C106*'Model inputs'!AB114</f>
        <v>0</v>
      </c>
      <c r="D98" s="18">
        <f>'Model inputs'!D106*'Model inputs'!AB114</f>
        <v>0</v>
      </c>
      <c r="E98" s="18">
        <f>'Model inputs'!E106*'Model inputs'!AB114</f>
        <v>0</v>
      </c>
      <c r="F98" s="18">
        <f>'Model inputs'!F106*'Model inputs'!AB114</f>
        <v>0</v>
      </c>
      <c r="G98" s="18">
        <f>'Model inputs'!G106*'Model inputs'!AB114</f>
        <v>0</v>
      </c>
      <c r="H98" s="18">
        <f>'Model inputs'!H106*'Model inputs'!AB114</f>
        <v>0</v>
      </c>
      <c r="I98" s="18">
        <f>'Model inputs'!I106*'Model inputs'!AB114</f>
        <v>1.6</v>
      </c>
      <c r="J98" s="18">
        <f>'Model inputs'!J106*'Model inputs'!AB114</f>
        <v>1.6</v>
      </c>
      <c r="K98" s="18">
        <f>'Model inputs'!K106*'Model inputs'!AB114</f>
        <v>1.6</v>
      </c>
      <c r="L98" s="18">
        <f>'Model inputs'!L106*'Model inputs'!AB114</f>
        <v>3.2</v>
      </c>
      <c r="M98" s="18">
        <f>'Model inputs'!M106*'Model inputs'!AB114</f>
        <v>3.2</v>
      </c>
      <c r="N98" s="18">
        <f>'Model inputs'!N106*'Model inputs'!AB114</f>
        <v>3.2</v>
      </c>
      <c r="O98" s="18">
        <f>'Model inputs'!O106*'Model inputs'!AB114</f>
        <v>4.8</v>
      </c>
      <c r="P98" s="18">
        <f>'Model inputs'!P106*'Model inputs'!AB114</f>
        <v>4.8</v>
      </c>
      <c r="Q98" s="18">
        <f>'Model inputs'!Q106*'Model inputs'!AB114</f>
        <v>6.4</v>
      </c>
      <c r="R98" s="18">
        <f>'Model inputs'!R106*'Model inputs'!AB114</f>
        <v>6.4</v>
      </c>
      <c r="S98" s="18">
        <f>'Model inputs'!S106*'Model inputs'!AB114</f>
        <v>8</v>
      </c>
      <c r="T98" s="18">
        <f>'Model inputs'!T106*'Model inputs'!AB114</f>
        <v>8</v>
      </c>
      <c r="U98" s="18">
        <f>'Model inputs'!U106*'Model inputs'!AB114</f>
        <v>9.6</v>
      </c>
      <c r="V98" s="18">
        <f>'Model inputs'!V106*'Model inputs'!AB114</f>
        <v>11.200000000000001</v>
      </c>
      <c r="W98" s="18">
        <f>'Model inputs'!W106*'Model inputs'!AB114</f>
        <v>11.200000000000001</v>
      </c>
      <c r="X98" s="18">
        <f>'Model inputs'!X106*'Model inputs'!AB114</f>
        <v>12.8</v>
      </c>
      <c r="Y98" s="18">
        <f>'Model inputs'!Y106*'Model inputs'!AB114</f>
        <v>12.8</v>
      </c>
      <c r="Z98" s="18">
        <f>0</f>
        <v>0</v>
      </c>
      <c r="AA98" s="18">
        <f>'Model inputs'!AA106*'Model inputs'!AB114</f>
        <v>0</v>
      </c>
    </row>
    <row r="99">
      <c r="A99" t="inlineStr" s="15">
        <is>
          <t xml:space="preserve">LLM inference cost</t>
        </is>
      </c>
      <c r="B99" s="19">
        <f>IF('Model inputs'!B83="","",'Model inputs'!B83)</f>
        <v>0</v>
      </c>
      <c r="C99" s="19">
        <f>IF('Model inputs'!C83="","",'Model inputs'!C83)</f>
        <v>0</v>
      </c>
      <c r="D99" s="19">
        <f>IF('Model inputs'!D83="","",'Model inputs'!D83)</f>
        <v>0</v>
      </c>
      <c r="E99" s="19">
        <f>IF('Model inputs'!E83="","",'Model inputs'!E83)</f>
        <v>1.8240000000000003</v>
      </c>
      <c r="F99" s="19">
        <f>IF('Model inputs'!F83="","",'Model inputs'!F83)</f>
        <v>2.736</v>
      </c>
      <c r="G99" s="19">
        <f>IF('Model inputs'!G83="","",'Model inputs'!G83)</f>
        <v>4.5600000000000005</v>
      </c>
      <c r="H99" s="19">
        <f>IF('Model inputs'!H83="","",'Model inputs'!H83)</f>
        <v>6.612</v>
      </c>
      <c r="I99" s="19">
        <f>IF('Model inputs'!I83="","",'Model inputs'!I83)</f>
        <v>8.664000000000001</v>
      </c>
      <c r="J99" s="19">
        <f>IF('Model inputs'!J83="","",'Model inputs'!J83)</f>
        <v>10.943999999999999</v>
      </c>
      <c r="K99" s="19">
        <f>IF('Model inputs'!K83="","",'Model inputs'!K83)</f>
        <v>12.996</v>
      </c>
      <c r="L99" s="19">
        <f>IF('Model inputs'!L83="","",'Model inputs'!L83)</f>
        <v>15.048000000000002</v>
      </c>
      <c r="M99" s="19">
        <f>IF('Model inputs'!M83="","",'Model inputs'!M83)</f>
        <v>17.1</v>
      </c>
      <c r="N99" s="19">
        <f>IF('Model inputs'!N83="","",'Model inputs'!N83)</f>
        <v>19.380000000000003</v>
      </c>
      <c r="O99" s="19">
        <f>IF('Model inputs'!O83="","",'Model inputs'!O83)</f>
        <v>23.028</v>
      </c>
      <c r="P99" s="19">
        <f>IF('Model inputs'!P83="","",'Model inputs'!P83)</f>
        <v>25.308</v>
      </c>
      <c r="Q99" s="19">
        <f>IF('Model inputs'!Q83="","",'Model inputs'!Q83)</f>
        <v>28.956000000000003</v>
      </c>
      <c r="R99" s="19">
        <f>IF('Model inputs'!R83="","",'Model inputs'!R83)</f>
        <v>31.236000000000004</v>
      </c>
      <c r="S99" s="19">
        <f>IF('Model inputs'!S83="","",'Model inputs'!S83)</f>
        <v>34.884</v>
      </c>
      <c r="T99" s="19">
        <f>IF('Model inputs'!T83="","",'Model inputs'!T83)</f>
        <v>37.164</v>
      </c>
      <c r="U99" s="19">
        <f>IF('Model inputs'!U83="","",'Model inputs'!U83)</f>
        <v>39.444</v>
      </c>
      <c r="V99" s="19">
        <f>IF('Model inputs'!V83="","",'Model inputs'!V83)</f>
        <v>43.092</v>
      </c>
      <c r="W99" s="19">
        <f>IF('Model inputs'!W83="","",'Model inputs'!W83)</f>
        <v>45.372</v>
      </c>
      <c r="X99" s="19">
        <f>IF('Model inputs'!X83="","",'Model inputs'!X83)</f>
        <v>49.019999999999996</v>
      </c>
      <c r="Y99" s="19">
        <f>IF('Model inputs'!Y83="","",'Model inputs'!Y83)</f>
        <v>51.3</v>
      </c>
      <c r="Z99" s="19">
        <f>IF('Model inputs'!Z83="","",'Model inputs'!Z83)</f>
        <v>0</v>
      </c>
      <c r="AA99" s="19">
        <f>IF('Model inputs'!AA83="","",'Model inputs'!AA83)</f>
        <v>0</v>
      </c>
    </row>
    <row r="100" outlineLevel="1">
      <c r="A100" t="inlineStr" s="16">
        <is>
          <t xml:space="preserve">LLM inference cost &gt; Starter</t>
        </is>
      </c>
      <c r="B100" s="18">
        <f>'Model inputs'!B108*'Model inputs'!AB115</f>
        <v>0</v>
      </c>
      <c r="C100" s="18">
        <f>'Model inputs'!C108*'Model inputs'!AB115</f>
        <v>0</v>
      </c>
      <c r="D100" s="18">
        <f>'Model inputs'!D108*'Model inputs'!AB115</f>
        <v>0</v>
      </c>
      <c r="E100" s="18">
        <f>'Model inputs'!E108*'Model inputs'!AB115</f>
        <v>0.684</v>
      </c>
      <c r="F100" s="18">
        <f>'Model inputs'!F108*'Model inputs'!AB115</f>
        <v>1.596</v>
      </c>
      <c r="G100" s="18">
        <f>'Model inputs'!G108*'Model inputs'!AB115</f>
        <v>2.2800000000000002</v>
      </c>
      <c r="H100" s="18">
        <f>'Model inputs'!H108*'Model inputs'!AB115</f>
        <v>3.192</v>
      </c>
      <c r="I100" s="18">
        <f>'Model inputs'!I108*'Model inputs'!AB115</f>
        <v>4.104</v>
      </c>
      <c r="J100" s="18">
        <f>'Model inputs'!J108*'Model inputs'!AB115</f>
        <v>5.244</v>
      </c>
      <c r="K100" s="18">
        <f>'Model inputs'!K108*'Model inputs'!AB115</f>
        <v>6.156000000000001</v>
      </c>
      <c r="L100" s="18">
        <f>'Model inputs'!L108*'Model inputs'!AB115</f>
        <v>7.0680000000000005</v>
      </c>
      <c r="M100" s="18">
        <f>'Model inputs'!M108*'Model inputs'!AB115</f>
        <v>7.98</v>
      </c>
      <c r="N100" s="18">
        <f>'Model inputs'!N108*'Model inputs'!AB115</f>
        <v>9.120000000000001</v>
      </c>
      <c r="O100" s="18">
        <f>'Model inputs'!O108*'Model inputs'!AB115</f>
        <v>10.488</v>
      </c>
      <c r="P100" s="18">
        <f>'Model inputs'!P108*'Model inputs'!AB115</f>
        <v>11.628</v>
      </c>
      <c r="Q100" s="18">
        <f>'Model inputs'!Q108*'Model inputs'!AB115</f>
        <v>12.996</v>
      </c>
      <c r="R100" s="18">
        <f>'Model inputs'!R108*'Model inputs'!AB115</f>
        <v>14.136000000000001</v>
      </c>
      <c r="S100" s="18">
        <f>'Model inputs'!S108*'Model inputs'!AB115</f>
        <v>15.504000000000001</v>
      </c>
      <c r="T100" s="18">
        <f>'Model inputs'!T108*'Model inputs'!AB115</f>
        <v>16.644000000000002</v>
      </c>
      <c r="U100" s="18">
        <f>'Model inputs'!U108*'Model inputs'!AB115</f>
        <v>17.784</v>
      </c>
      <c r="V100" s="18">
        <f>'Model inputs'!V108*'Model inputs'!AB115</f>
        <v>19.152</v>
      </c>
      <c r="W100" s="18">
        <f>'Model inputs'!W108*'Model inputs'!AB115</f>
        <v>20.292</v>
      </c>
      <c r="X100" s="18">
        <f>'Model inputs'!X108*'Model inputs'!AB115</f>
        <v>21.66</v>
      </c>
      <c r="Y100" s="18">
        <f>'Model inputs'!Y108*'Model inputs'!AB115</f>
        <v>22.8</v>
      </c>
      <c r="Z100" s="18">
        <f>0</f>
        <v>0</v>
      </c>
      <c r="AA100" s="18">
        <f>'Model inputs'!AA108*'Model inputs'!AB115</f>
        <v>0</v>
      </c>
    </row>
    <row r="101" outlineLevel="1">
      <c r="A101" t="inlineStr" s="16">
        <is>
          <t xml:space="preserve">LLM inference cost &gt; Team</t>
        </is>
      </c>
      <c r="B101" s="18">
        <f>'Model inputs'!B109*'Model inputs'!AB115</f>
        <v>0</v>
      </c>
      <c r="C101" s="18">
        <f>'Model inputs'!C109*'Model inputs'!AB115</f>
        <v>0</v>
      </c>
      <c r="D101" s="18">
        <f>'Model inputs'!D109*'Model inputs'!AB115</f>
        <v>0</v>
      </c>
      <c r="E101" s="18">
        <f>'Model inputs'!E109*'Model inputs'!AB115</f>
        <v>1.1400000000000001</v>
      </c>
      <c r="F101" s="18">
        <f>'Model inputs'!F109*'Model inputs'!AB115</f>
        <v>1.1400000000000001</v>
      </c>
      <c r="G101" s="18">
        <f>'Model inputs'!G109*'Model inputs'!AB115</f>
        <v>2.2800000000000002</v>
      </c>
      <c r="H101" s="18">
        <f>'Model inputs'!H109*'Model inputs'!AB115</f>
        <v>3.42</v>
      </c>
      <c r="I101" s="18">
        <f>'Model inputs'!I109*'Model inputs'!AB115</f>
        <v>4.5600000000000005</v>
      </c>
      <c r="J101" s="18">
        <f>'Model inputs'!J109*'Model inputs'!AB115</f>
        <v>5.7</v>
      </c>
      <c r="K101" s="18">
        <f>'Model inputs'!K109*'Model inputs'!AB115</f>
        <v>6.84</v>
      </c>
      <c r="L101" s="18">
        <f>'Model inputs'!L109*'Model inputs'!AB115</f>
        <v>7.98</v>
      </c>
      <c r="M101" s="18">
        <f>'Model inputs'!M109*'Model inputs'!AB115</f>
        <v>9.120000000000001</v>
      </c>
      <c r="N101" s="18">
        <f>'Model inputs'!N109*'Model inputs'!AB115</f>
        <v>10.26</v>
      </c>
      <c r="O101" s="18">
        <f>'Model inputs'!O109*'Model inputs'!AB115</f>
        <v>12.540000000000001</v>
      </c>
      <c r="P101" s="18">
        <f>'Model inputs'!P109*'Model inputs'!AB115</f>
        <v>13.68</v>
      </c>
      <c r="Q101" s="18">
        <f>'Model inputs'!Q109*'Model inputs'!AB115</f>
        <v>15.96</v>
      </c>
      <c r="R101" s="18">
        <f>'Model inputs'!R109*'Model inputs'!AB115</f>
        <v>17.1</v>
      </c>
      <c r="S101" s="18">
        <f>'Model inputs'!S109*'Model inputs'!AB115</f>
        <v>19.38</v>
      </c>
      <c r="T101" s="18">
        <f>'Model inputs'!T109*'Model inputs'!AB115</f>
        <v>20.52</v>
      </c>
      <c r="U101" s="18">
        <f>'Model inputs'!U109*'Model inputs'!AB115</f>
        <v>21.66</v>
      </c>
      <c r="V101" s="18">
        <f>'Model inputs'!V109*'Model inputs'!AB115</f>
        <v>23.94</v>
      </c>
      <c r="W101" s="18">
        <f>'Model inputs'!W109*'Model inputs'!AB115</f>
        <v>25.080000000000002</v>
      </c>
      <c r="X101" s="18">
        <f>'Model inputs'!X109*'Model inputs'!AB115</f>
        <v>27.36</v>
      </c>
      <c r="Y101" s="18">
        <f>'Model inputs'!Y109*'Model inputs'!AB115</f>
        <v>28.5</v>
      </c>
      <c r="Z101" s="18">
        <f>0</f>
        <v>0</v>
      </c>
      <c r="AA101" s="18">
        <f>'Model inputs'!AA109*'Model inputs'!AB115</f>
        <v>0</v>
      </c>
    </row>
    <row r="102">
      <c r="A102" t="inlineStr" s="15">
        <is>
          <t xml:space="preserve">Tools and SaaS per month · Tools and SaaS · Downside · Downside</t>
        </is>
      </c>
      <c r="AB102" s="10">
        <f>100</f>
        <v>100</v>
      </c>
    </row>
    <row r="103">
      <c r="A103" t="inlineStr" s="15">
        <is>
          <t xml:space="preserve">Tools and SaaS per month · Tools and SaaS · Growth · Growth</t>
        </is>
      </c>
      <c r="AB103" s="10">
        <f>100</f>
        <v>100</v>
      </c>
    </row>
    <row r="104">
      <c r="A104" t="inlineStr" s="15">
        <is>
          <t xml:space="preserve">Analysis runs</t>
        </is>
      </c>
      <c r="B104" s="7">
        <f>SUM('Model inputs'!B105,'Model inputs'!B106)</f>
        <v>0</v>
      </c>
      <c r="C104" s="7">
        <f>SUM('Model inputs'!C105,'Model inputs'!C106)</f>
        <v>0</v>
      </c>
      <c r="D104" s="7">
        <f>SUM('Model inputs'!D105,'Model inputs'!D106)</f>
        <v>0</v>
      </c>
      <c r="E104" s="7">
        <f>SUM('Model inputs'!E105,'Model inputs'!E106)</f>
        <v>0</v>
      </c>
      <c r="F104" s="7">
        <f>SUM('Model inputs'!F105,'Model inputs'!F106)</f>
        <v>0</v>
      </c>
      <c r="G104" s="7">
        <f>SUM('Model inputs'!G105,'Model inputs'!G106)</f>
        <v>0</v>
      </c>
      <c r="H104" s="7">
        <f>SUM('Model inputs'!H105,'Model inputs'!H106)</f>
        <v>16</v>
      </c>
      <c r="I104" s="7">
        <f>SUM('Model inputs'!I105,'Model inputs'!I106)</f>
        <v>64</v>
      </c>
      <c r="J104" s="7">
        <f>SUM('Model inputs'!J105,'Model inputs'!J106)</f>
        <v>80</v>
      </c>
      <c r="K104" s="7">
        <f>SUM('Model inputs'!K105,'Model inputs'!K106)</f>
        <v>96</v>
      </c>
      <c r="L104" s="7">
        <f>SUM('Model inputs'!L105,'Model inputs'!L106)</f>
        <v>144</v>
      </c>
      <c r="M104" s="7">
        <f>SUM('Model inputs'!M105,'Model inputs'!M106)</f>
        <v>160</v>
      </c>
      <c r="N104" s="7">
        <f>SUM('Model inputs'!N105,'Model inputs'!N106)</f>
        <v>176</v>
      </c>
      <c r="O104" s="7">
        <f>SUM('Model inputs'!O105,'Model inputs'!O106)</f>
        <v>224</v>
      </c>
      <c r="P104" s="7">
        <f>SUM('Model inputs'!P105,'Model inputs'!P106)</f>
        <v>240</v>
      </c>
      <c r="Q104" s="7">
        <f>SUM('Model inputs'!Q105,'Model inputs'!Q106)</f>
        <v>296</v>
      </c>
      <c r="R104" s="7">
        <f>SUM('Model inputs'!R105,'Model inputs'!R106)</f>
        <v>312</v>
      </c>
      <c r="S104" s="7">
        <f>SUM('Model inputs'!S105,'Model inputs'!S106)</f>
        <v>368</v>
      </c>
      <c r="T104" s="7">
        <f>SUM('Model inputs'!T105,'Model inputs'!T106)</f>
        <v>384</v>
      </c>
      <c r="U104" s="7">
        <f>SUM('Model inputs'!U105,'Model inputs'!U106)</f>
        <v>440</v>
      </c>
      <c r="V104" s="7">
        <f>SUM('Model inputs'!V105,'Model inputs'!V106)</f>
        <v>504</v>
      </c>
      <c r="W104" s="7">
        <f>SUM('Model inputs'!W105,'Model inputs'!W106)</f>
        <v>520</v>
      </c>
      <c r="X104" s="7">
        <f>SUM('Model inputs'!X105,'Model inputs'!X106)</f>
        <v>576</v>
      </c>
      <c r="Y104" s="7">
        <f>SUM('Model inputs'!Y105,'Model inputs'!Y106)</f>
        <v>592</v>
      </c>
      <c r="Z104" s="7">
        <f>SUM('Model inputs'!Z105,'Model inputs'!Z106)</f>
        <v>0</v>
      </c>
      <c r="AA104" s="7">
        <f>SUM('Model inputs'!AA105,'Model inputs'!AA106)</f>
        <v>0</v>
      </c>
    </row>
    <row r="105" outlineLevel="1">
      <c r="A105" t="inlineStr" s="16">
        <is>
          <t xml:space="preserve">Analysis runs &gt; Starter</t>
        </is>
      </c>
      <c r="B105" s="9">
        <f>'Model inputs'!B7*'Model inputs'!AB121*'Model inputs'!AB116</f>
        <v>0</v>
      </c>
      <c r="C105" s="9">
        <f>'Model inputs'!C7*'Model inputs'!AB121*'Model inputs'!AB116</f>
        <v>0</v>
      </c>
      <c r="D105" s="9">
        <f>'Model inputs'!D7*'Model inputs'!AB121*'Model inputs'!AB116</f>
        <v>0</v>
      </c>
      <c r="E105" s="9">
        <f>'Model inputs'!E7*'Model inputs'!AB121*'Model inputs'!AB116</f>
        <v>0</v>
      </c>
      <c r="F105" s="9">
        <f>'Model inputs'!F7*'Model inputs'!AB121*'Model inputs'!AB116</f>
        <v>0</v>
      </c>
      <c r="G105" s="9">
        <f>'Model inputs'!G7*'Model inputs'!AB121*'Model inputs'!AB116</f>
        <v>0</v>
      </c>
      <c r="H105" s="9">
        <f>'Model inputs'!H7*'Model inputs'!AB121*'Model inputs'!AB116</f>
        <v>16</v>
      </c>
      <c r="I105" s="9">
        <f>'Model inputs'!I7*'Model inputs'!AB121*'Model inputs'!AB116</f>
        <v>24</v>
      </c>
      <c r="J105" s="9">
        <f>'Model inputs'!J7*'Model inputs'!AB121*'Model inputs'!AB116</f>
        <v>40</v>
      </c>
      <c r="K105" s="9">
        <f>'Model inputs'!K7*'Model inputs'!AB121*'Model inputs'!AB116</f>
        <v>56</v>
      </c>
      <c r="L105" s="9">
        <f>'Model inputs'!L7*'Model inputs'!AB121*'Model inputs'!AB116</f>
        <v>64</v>
      </c>
      <c r="M105" s="9">
        <f>'Model inputs'!M7*'Model inputs'!AB121*'Model inputs'!AB116</f>
        <v>80</v>
      </c>
      <c r="N105" s="9">
        <f>'Model inputs'!N7*'Model inputs'!AB121*'Model inputs'!AB116</f>
        <v>96</v>
      </c>
      <c r="O105" s="9">
        <f>'Model inputs'!O7*'Model inputs'!AB121*'Model inputs'!AB116</f>
        <v>104</v>
      </c>
      <c r="P105" s="9">
        <f>'Model inputs'!P7*'Model inputs'!AB121*'Model inputs'!AB116</f>
        <v>120</v>
      </c>
      <c r="Q105" s="9">
        <f>'Model inputs'!Q7*'Model inputs'!AB121*'Model inputs'!AB116</f>
        <v>136</v>
      </c>
      <c r="R105" s="9">
        <f>'Model inputs'!R7*'Model inputs'!AB121*'Model inputs'!AB116</f>
        <v>152</v>
      </c>
      <c r="S105" s="9">
        <f>'Model inputs'!S7*'Model inputs'!AB121*'Model inputs'!AB116</f>
        <v>168</v>
      </c>
      <c r="T105" s="9">
        <f>'Model inputs'!T7*'Model inputs'!AB121*'Model inputs'!AB116</f>
        <v>184</v>
      </c>
      <c r="U105" s="9">
        <f>'Model inputs'!U7*'Model inputs'!AB121*'Model inputs'!AB116</f>
        <v>200</v>
      </c>
      <c r="V105" s="9">
        <f>'Model inputs'!V7*'Model inputs'!AB121*'Model inputs'!AB116</f>
        <v>224</v>
      </c>
      <c r="W105" s="9">
        <f>'Model inputs'!W7*'Model inputs'!AB121*'Model inputs'!AB116</f>
        <v>240</v>
      </c>
      <c r="X105" s="9">
        <f>'Model inputs'!X7*'Model inputs'!AB121*'Model inputs'!AB116</f>
        <v>256</v>
      </c>
      <c r="Y105" s="9">
        <f>'Model inputs'!Y7*'Model inputs'!AB121*'Model inputs'!AB116</f>
        <v>272</v>
      </c>
      <c r="Z105" s="9">
        <f>0</f>
        <v>0</v>
      </c>
      <c r="AA105" s="9">
        <f>'Model inputs'!AA31*'Model inputs'!AB121*'Model inputs'!AB116</f>
        <v>0</v>
      </c>
    </row>
    <row r="106" outlineLevel="1">
      <c r="A106" t="inlineStr" s="16">
        <is>
          <t xml:space="preserve">Analysis runs &gt; Team</t>
        </is>
      </c>
      <c r="B106" s="9">
        <f>'Model inputs'!B8*'Model inputs'!AB122*'Model inputs'!AB116</f>
        <v>0</v>
      </c>
      <c r="C106" s="9">
        <f>'Model inputs'!C8*'Model inputs'!AB122*'Model inputs'!AB116</f>
        <v>0</v>
      </c>
      <c r="D106" s="9">
        <f>'Model inputs'!D8*'Model inputs'!AB122*'Model inputs'!AB116</f>
        <v>0</v>
      </c>
      <c r="E106" s="9">
        <f>'Model inputs'!E8*'Model inputs'!AB122*'Model inputs'!AB116</f>
        <v>0</v>
      </c>
      <c r="F106" s="9">
        <f>'Model inputs'!F8*'Model inputs'!AB122*'Model inputs'!AB116</f>
        <v>0</v>
      </c>
      <c r="G106" s="9">
        <f>'Model inputs'!G8*'Model inputs'!AB122*'Model inputs'!AB116</f>
        <v>0</v>
      </c>
      <c r="H106" s="9">
        <f>'Model inputs'!H8*'Model inputs'!AB122*'Model inputs'!AB116</f>
        <v>0</v>
      </c>
      <c r="I106" s="9">
        <f>'Model inputs'!I8*'Model inputs'!AB122*'Model inputs'!AB116</f>
        <v>40</v>
      </c>
      <c r="J106" s="9">
        <f>'Model inputs'!J8*'Model inputs'!AB122*'Model inputs'!AB116</f>
        <v>40</v>
      </c>
      <c r="K106" s="9">
        <f>'Model inputs'!K8*'Model inputs'!AB122*'Model inputs'!AB116</f>
        <v>40</v>
      </c>
      <c r="L106" s="9">
        <f>'Model inputs'!L8*'Model inputs'!AB122*'Model inputs'!AB116</f>
        <v>80</v>
      </c>
      <c r="M106" s="9">
        <f>'Model inputs'!M8*'Model inputs'!AB122*'Model inputs'!AB116</f>
        <v>80</v>
      </c>
      <c r="N106" s="9">
        <f>'Model inputs'!N8*'Model inputs'!AB122*'Model inputs'!AB116</f>
        <v>80</v>
      </c>
      <c r="O106" s="9">
        <f>'Model inputs'!O8*'Model inputs'!AB122*'Model inputs'!AB116</f>
        <v>120</v>
      </c>
      <c r="P106" s="9">
        <f>'Model inputs'!P8*'Model inputs'!AB122*'Model inputs'!AB116</f>
        <v>120</v>
      </c>
      <c r="Q106" s="9">
        <f>'Model inputs'!Q8*'Model inputs'!AB122*'Model inputs'!AB116</f>
        <v>160</v>
      </c>
      <c r="R106" s="9">
        <f>'Model inputs'!R8*'Model inputs'!AB122*'Model inputs'!AB116</f>
        <v>160</v>
      </c>
      <c r="S106" s="9">
        <f>'Model inputs'!S8*'Model inputs'!AB122*'Model inputs'!AB116</f>
        <v>200</v>
      </c>
      <c r="T106" s="9">
        <f>'Model inputs'!T8*'Model inputs'!AB122*'Model inputs'!AB116</f>
        <v>200</v>
      </c>
      <c r="U106" s="9">
        <f>'Model inputs'!U8*'Model inputs'!AB122*'Model inputs'!AB116</f>
        <v>240</v>
      </c>
      <c r="V106" s="9">
        <f>'Model inputs'!V8*'Model inputs'!AB122*'Model inputs'!AB116</f>
        <v>280</v>
      </c>
      <c r="W106" s="9">
        <f>'Model inputs'!W8*'Model inputs'!AB122*'Model inputs'!AB116</f>
        <v>280</v>
      </c>
      <c r="X106" s="9">
        <f>'Model inputs'!X8*'Model inputs'!AB122*'Model inputs'!AB116</f>
        <v>320</v>
      </c>
      <c r="Y106" s="9">
        <f>'Model inputs'!Y8*'Model inputs'!AB122*'Model inputs'!AB116</f>
        <v>320</v>
      </c>
      <c r="Z106" s="9">
        <f>0</f>
        <v>0</v>
      </c>
      <c r="AA106" s="9">
        <f>'Model inputs'!AA32*'Model inputs'!AB122*'Model inputs'!AB116</f>
        <v>0</v>
      </c>
    </row>
    <row r="107">
      <c r="A107" t="inlineStr" s="15">
        <is>
          <t xml:space="preserve">Analysis runs</t>
        </is>
      </c>
      <c r="B107" s="7">
        <f>SUM('Model inputs'!B108,'Model inputs'!B109)</f>
        <v>0</v>
      </c>
      <c r="C107" s="7">
        <f>SUM('Model inputs'!C108,'Model inputs'!C109)</f>
        <v>0</v>
      </c>
      <c r="D107" s="7">
        <f>SUM('Model inputs'!D108,'Model inputs'!D109)</f>
        <v>0</v>
      </c>
      <c r="E107" s="7">
        <f>SUM('Model inputs'!E108,'Model inputs'!E109)</f>
        <v>64</v>
      </c>
      <c r="F107" s="7">
        <f>SUM('Model inputs'!F108,'Model inputs'!F109)</f>
        <v>96</v>
      </c>
      <c r="G107" s="7">
        <f>SUM('Model inputs'!G108,'Model inputs'!G109)</f>
        <v>160</v>
      </c>
      <c r="H107" s="7">
        <f>SUM('Model inputs'!H108,'Model inputs'!H109)</f>
        <v>232</v>
      </c>
      <c r="I107" s="7">
        <f>SUM('Model inputs'!I108,'Model inputs'!I109)</f>
        <v>304</v>
      </c>
      <c r="J107" s="7">
        <f>SUM('Model inputs'!J108,'Model inputs'!J109)</f>
        <v>384</v>
      </c>
      <c r="K107" s="7">
        <f>SUM('Model inputs'!K108,'Model inputs'!K109)</f>
        <v>456</v>
      </c>
      <c r="L107" s="7">
        <f>SUM('Model inputs'!L108,'Model inputs'!L109)</f>
        <v>528</v>
      </c>
      <c r="M107" s="7">
        <f>SUM('Model inputs'!M108,'Model inputs'!M109)</f>
        <v>600</v>
      </c>
      <c r="N107" s="7">
        <f>SUM('Model inputs'!N108,'Model inputs'!N109)</f>
        <v>680</v>
      </c>
      <c r="O107" s="7">
        <f>SUM('Model inputs'!O108,'Model inputs'!O109)</f>
        <v>808</v>
      </c>
      <c r="P107" s="7">
        <f>SUM('Model inputs'!P108,'Model inputs'!P109)</f>
        <v>888</v>
      </c>
      <c r="Q107" s="7">
        <f>SUM('Model inputs'!Q108,'Model inputs'!Q109)</f>
        <v>1016</v>
      </c>
      <c r="R107" s="7">
        <f>SUM('Model inputs'!R108,'Model inputs'!R109)</f>
        <v>1096</v>
      </c>
      <c r="S107" s="7">
        <f>SUM('Model inputs'!S108,'Model inputs'!S109)</f>
        <v>1224</v>
      </c>
      <c r="T107" s="7">
        <f>SUM('Model inputs'!T108,'Model inputs'!T109)</f>
        <v>1304</v>
      </c>
      <c r="U107" s="7">
        <f>SUM('Model inputs'!U108,'Model inputs'!U109)</f>
        <v>1384</v>
      </c>
      <c r="V107" s="7">
        <f>SUM('Model inputs'!V108,'Model inputs'!V109)</f>
        <v>1512</v>
      </c>
      <c r="W107" s="7">
        <f>SUM('Model inputs'!W108,'Model inputs'!W109)</f>
        <v>1592</v>
      </c>
      <c r="X107" s="7">
        <f>SUM('Model inputs'!X108,'Model inputs'!X109)</f>
        <v>1720</v>
      </c>
      <c r="Y107" s="7">
        <f>SUM('Model inputs'!Y108,'Model inputs'!Y109)</f>
        <v>1800</v>
      </c>
      <c r="Z107" s="7">
        <f>SUM('Model inputs'!Z108,'Model inputs'!Z109)</f>
        <v>0</v>
      </c>
      <c r="AA107" s="7">
        <f>SUM('Model inputs'!AA108,'Model inputs'!AA109)</f>
        <v>0</v>
      </c>
    </row>
    <row r="108" outlineLevel="1">
      <c r="A108" t="inlineStr" s="16">
        <is>
          <t xml:space="preserve">Analysis runs &gt; Starter</t>
        </is>
      </c>
      <c r="B108" s="9">
        <f>'Model inputs'!B10*'Model inputs'!AB124*'Model inputs'!AB117</f>
        <v>0</v>
      </c>
      <c r="C108" s="9">
        <f>'Model inputs'!C10*'Model inputs'!AB124*'Model inputs'!AB117</f>
        <v>0</v>
      </c>
      <c r="D108" s="9">
        <f>'Model inputs'!D10*'Model inputs'!AB124*'Model inputs'!AB117</f>
        <v>0</v>
      </c>
      <c r="E108" s="9">
        <f>'Model inputs'!E10*'Model inputs'!AB124*'Model inputs'!AB117</f>
        <v>24</v>
      </c>
      <c r="F108" s="9">
        <f>'Model inputs'!F10*'Model inputs'!AB124*'Model inputs'!AB117</f>
        <v>56</v>
      </c>
      <c r="G108" s="9">
        <f>'Model inputs'!G10*'Model inputs'!AB124*'Model inputs'!AB117</f>
        <v>80</v>
      </c>
      <c r="H108" s="9">
        <f>'Model inputs'!H10*'Model inputs'!AB124*'Model inputs'!AB117</f>
        <v>112</v>
      </c>
      <c r="I108" s="9">
        <f>'Model inputs'!I10*'Model inputs'!AB124*'Model inputs'!AB117</f>
        <v>144</v>
      </c>
      <c r="J108" s="9">
        <f>'Model inputs'!J10*'Model inputs'!AB124*'Model inputs'!AB117</f>
        <v>184</v>
      </c>
      <c r="K108" s="9">
        <f>'Model inputs'!K10*'Model inputs'!AB124*'Model inputs'!AB117</f>
        <v>216</v>
      </c>
      <c r="L108" s="9">
        <f>'Model inputs'!L10*'Model inputs'!AB124*'Model inputs'!AB117</f>
        <v>248</v>
      </c>
      <c r="M108" s="9">
        <f>'Model inputs'!M10*'Model inputs'!AB124*'Model inputs'!AB117</f>
        <v>280</v>
      </c>
      <c r="N108" s="9">
        <f>'Model inputs'!N10*'Model inputs'!AB124*'Model inputs'!AB117</f>
        <v>320</v>
      </c>
      <c r="O108" s="9">
        <f>'Model inputs'!O10*'Model inputs'!AB124*'Model inputs'!AB117</f>
        <v>368</v>
      </c>
      <c r="P108" s="9">
        <f>'Model inputs'!P10*'Model inputs'!AB124*'Model inputs'!AB117</f>
        <v>408</v>
      </c>
      <c r="Q108" s="9">
        <f>'Model inputs'!Q10*'Model inputs'!AB124*'Model inputs'!AB117</f>
        <v>456</v>
      </c>
      <c r="R108" s="9">
        <f>'Model inputs'!R10*'Model inputs'!AB124*'Model inputs'!AB117</f>
        <v>496</v>
      </c>
      <c r="S108" s="9">
        <f>'Model inputs'!S10*'Model inputs'!AB124*'Model inputs'!AB117</f>
        <v>544</v>
      </c>
      <c r="T108" s="9">
        <f>'Model inputs'!T10*'Model inputs'!AB124*'Model inputs'!AB117</f>
        <v>584</v>
      </c>
      <c r="U108" s="9">
        <f>'Model inputs'!U10*'Model inputs'!AB124*'Model inputs'!AB117</f>
        <v>624</v>
      </c>
      <c r="V108" s="9">
        <f>'Model inputs'!V10*'Model inputs'!AB124*'Model inputs'!AB117</f>
        <v>672</v>
      </c>
      <c r="W108" s="9">
        <f>'Model inputs'!W10*'Model inputs'!AB124*'Model inputs'!AB117</f>
        <v>712</v>
      </c>
      <c r="X108" s="9">
        <f>'Model inputs'!X10*'Model inputs'!AB124*'Model inputs'!AB117</f>
        <v>760</v>
      </c>
      <c r="Y108" s="9">
        <f>'Model inputs'!Y10*'Model inputs'!AB124*'Model inputs'!AB117</f>
        <v>800</v>
      </c>
      <c r="Z108" s="9">
        <f>0</f>
        <v>0</v>
      </c>
      <c r="AA108" s="9">
        <f>'Model inputs'!AA34*'Model inputs'!AB124*'Model inputs'!AB117</f>
        <v>0</v>
      </c>
    </row>
    <row r="109" outlineLevel="1">
      <c r="A109" t="inlineStr" s="16">
        <is>
          <t xml:space="preserve">Analysis runs &gt; Team</t>
        </is>
      </c>
      <c r="B109" s="9">
        <f>'Model inputs'!B11*'Model inputs'!AB125*'Model inputs'!AB117</f>
        <v>0</v>
      </c>
      <c r="C109" s="9">
        <f>'Model inputs'!C11*'Model inputs'!AB125*'Model inputs'!AB117</f>
        <v>0</v>
      </c>
      <c r="D109" s="9">
        <f>'Model inputs'!D11*'Model inputs'!AB125*'Model inputs'!AB117</f>
        <v>0</v>
      </c>
      <c r="E109" s="9">
        <f>'Model inputs'!E11*'Model inputs'!AB125*'Model inputs'!AB117</f>
        <v>40</v>
      </c>
      <c r="F109" s="9">
        <f>'Model inputs'!F11*'Model inputs'!AB125*'Model inputs'!AB117</f>
        <v>40</v>
      </c>
      <c r="G109" s="9">
        <f>'Model inputs'!G11*'Model inputs'!AB125*'Model inputs'!AB117</f>
        <v>80</v>
      </c>
      <c r="H109" s="9">
        <f>'Model inputs'!H11*'Model inputs'!AB125*'Model inputs'!AB117</f>
        <v>120</v>
      </c>
      <c r="I109" s="9">
        <f>'Model inputs'!I11*'Model inputs'!AB125*'Model inputs'!AB117</f>
        <v>160</v>
      </c>
      <c r="J109" s="9">
        <f>'Model inputs'!J11*'Model inputs'!AB125*'Model inputs'!AB117</f>
        <v>200</v>
      </c>
      <c r="K109" s="9">
        <f>'Model inputs'!K11*'Model inputs'!AB125*'Model inputs'!AB117</f>
        <v>240</v>
      </c>
      <c r="L109" s="9">
        <f>'Model inputs'!L11*'Model inputs'!AB125*'Model inputs'!AB117</f>
        <v>280</v>
      </c>
      <c r="M109" s="9">
        <f>'Model inputs'!M11*'Model inputs'!AB125*'Model inputs'!AB117</f>
        <v>320</v>
      </c>
      <c r="N109" s="9">
        <f>'Model inputs'!N11*'Model inputs'!AB125*'Model inputs'!AB117</f>
        <v>360</v>
      </c>
      <c r="O109" s="9">
        <f>'Model inputs'!O11*'Model inputs'!AB125*'Model inputs'!AB117</f>
        <v>440</v>
      </c>
      <c r="P109" s="9">
        <f>'Model inputs'!P11*'Model inputs'!AB125*'Model inputs'!AB117</f>
        <v>480</v>
      </c>
      <c r="Q109" s="9">
        <f>'Model inputs'!Q11*'Model inputs'!AB125*'Model inputs'!AB117</f>
        <v>560</v>
      </c>
      <c r="R109" s="9">
        <f>'Model inputs'!R11*'Model inputs'!AB125*'Model inputs'!AB117</f>
        <v>600</v>
      </c>
      <c r="S109" s="9">
        <f>'Model inputs'!S11*'Model inputs'!AB125*'Model inputs'!AB117</f>
        <v>680</v>
      </c>
      <c r="T109" s="9">
        <f>'Model inputs'!T11*'Model inputs'!AB125*'Model inputs'!AB117</f>
        <v>720</v>
      </c>
      <c r="U109" s="9">
        <f>'Model inputs'!U11*'Model inputs'!AB125*'Model inputs'!AB117</f>
        <v>760</v>
      </c>
      <c r="V109" s="9">
        <f>'Model inputs'!V11*'Model inputs'!AB125*'Model inputs'!AB117</f>
        <v>840</v>
      </c>
      <c r="W109" s="9">
        <f>'Model inputs'!W11*'Model inputs'!AB125*'Model inputs'!AB117</f>
        <v>880</v>
      </c>
      <c r="X109" s="9">
        <f>'Model inputs'!X11*'Model inputs'!AB125*'Model inputs'!AB117</f>
        <v>960</v>
      </c>
      <c r="Y109" s="9">
        <f>'Model inputs'!Y11*'Model inputs'!AB125*'Model inputs'!AB117</f>
        <v>1000</v>
      </c>
      <c r="Z109" s="9">
        <f>0</f>
        <v>0</v>
      </c>
      <c r="AA109" s="9">
        <f>'Model inputs'!AA35*'Model inputs'!AB125*'Model inputs'!AB117</f>
        <v>0</v>
      </c>
    </row>
    <row r="110">
      <c r="A110" t="inlineStr" s="15">
        <is>
          <t xml:space="preserve">Cache hit rate · Crustdata cost · Downside · Downside</t>
        </is>
      </c>
      <c r="AB110" s="20">
        <f>0.25</f>
        <v>0.25</v>
      </c>
    </row>
    <row r="111">
      <c r="A111" t="inlineStr" s="15">
        <is>
          <t xml:space="preserve">Cache hit rate · Crustdata cost · Growth · Growth</t>
        </is>
      </c>
      <c r="AB111" s="20">
        <f>0.5</f>
        <v>0.5</v>
      </c>
    </row>
    <row r="112">
      <c r="A112" t="inlineStr" s="15">
        <is>
          <t xml:space="preserve">Crustdata cost per uncached run · Crustdata cost · Downside · Downside</t>
        </is>
      </c>
      <c r="AB112" s="18">
        <f>10.32</f>
        <v>10.32</v>
      </c>
    </row>
    <row r="113">
      <c r="A113" t="inlineStr" s="15">
        <is>
          <t xml:space="preserve">Crustdata cost per uncached run · Crustdata cost · Growth · Growth</t>
        </is>
      </c>
      <c r="AB113" s="18">
        <f>'Model inputs'!AB118*'Model inputs'!AB119+'Model inputs'!AB127*'Model inputs'!AB126/1000</f>
        <v>6.24</v>
      </c>
    </row>
    <row r="114">
      <c r="A114" t="inlineStr" s="15">
        <is>
          <t xml:space="preserve">LLM cost per run · LLM inference cost · Downside · Downside</t>
        </is>
      </c>
      <c r="AB114" s="21">
        <f>0.04</f>
        <v>0.04</v>
      </c>
    </row>
    <row r="115">
      <c r="A115" t="inlineStr" s="15">
        <is>
          <t xml:space="preserve">LLM cost per run · LLM inference cost · Growth · Growth</t>
        </is>
      </c>
      <c r="AB115" s="21">
        <f>0.0285</f>
        <v>0.0285</v>
      </c>
    </row>
    <row r="116">
      <c r="A116" t="inlineStr" s="15">
        <is>
          <t xml:space="preserve">Allowance utilization · Analysis runs · Downside · Downside</t>
        </is>
      </c>
      <c r="AB116" s="20">
        <f>1</f>
        <v>1</v>
      </c>
    </row>
    <row r="117">
      <c r="A117" t="inlineStr" s="15">
        <is>
          <t xml:space="preserve">Allowance utilization · Analysis runs · Growth · Growth</t>
        </is>
      </c>
      <c r="AB117" s="20">
        <f>1</f>
        <v>1</v>
      </c>
    </row>
    <row r="118">
      <c r="A118" t="inlineStr" s="15">
        <is>
          <t xml:space="preserve">Enrich calls per run · Crustdata cost per uncached run · Crustdata cost · Growth · Growth</t>
        </is>
      </c>
      <c r="AB118" s="9">
        <f>5</f>
        <v>5</v>
      </c>
    </row>
    <row r="119">
      <c r="A119" t="inlineStr" s="15">
        <is>
          <t xml:space="preserve">Enrich price per record · Crustdata cost per uncached run · Crustdata cost · Growth · Growth</t>
        </is>
      </c>
      <c r="AB119" s="18">
        <f>0.6</f>
        <v>0.6</v>
      </c>
    </row>
    <row r="120">
      <c r="A120" t="inlineStr" s="15">
        <is>
          <t xml:space="preserve">Included runs per month</t>
        </is>
      </c>
      <c r="AB120" s="7">
        <v>0</v>
      </c>
    </row>
    <row r="121" outlineLevel="1">
      <c r="A121" t="inlineStr" s="16">
        <is>
          <t xml:space="preserve">Included runs per month &gt; Starter</t>
        </is>
      </c>
      <c r="AB121" s="9">
        <f>8</f>
        <v>8</v>
      </c>
    </row>
    <row r="122" outlineLevel="1">
      <c r="A122" t="inlineStr" s="16">
        <is>
          <t xml:space="preserve">Included runs per month &gt; Team</t>
        </is>
      </c>
      <c r="AB122" s="9">
        <f>40</f>
        <v>40</v>
      </c>
    </row>
    <row r="123">
      <c r="A123" t="inlineStr" s="15">
        <is>
          <t xml:space="preserve">Included runs per month</t>
        </is>
      </c>
      <c r="AB123" s="7">
        <v>0</v>
      </c>
    </row>
    <row r="124" outlineLevel="1">
      <c r="A124" t="inlineStr" s="16">
        <is>
          <t xml:space="preserve">Included runs per month &gt; Starter</t>
        </is>
      </c>
      <c r="AB124" s="9">
        <f>8</f>
        <v>8</v>
      </c>
    </row>
    <row r="125" outlineLevel="1">
      <c r="A125" t="inlineStr" s="16">
        <is>
          <t xml:space="preserve">Included runs per month &gt; Team</t>
        </is>
      </c>
      <c r="AB125" s="9">
        <f>40</f>
        <v>40</v>
      </c>
    </row>
    <row r="126">
      <c r="A126" t="inlineStr" s="15">
        <is>
          <t xml:space="preserve">Search price per 1000 results · Crustdata cost per uncached run · Crustdata cost · Growth · Growth</t>
        </is>
      </c>
      <c r="AB126" s="18">
        <f>9</f>
        <v>9</v>
      </c>
    </row>
    <row r="127">
      <c r="A127" t="inlineStr" s="15">
        <is>
          <t xml:space="preserve">Search results per run · Crustdata cost per uncached run · Crustdata cost · Growth · Growth</t>
        </is>
      </c>
      <c r="AB127" s="9">
        <f>360</f>
        <v>360</v>
      </c>
    </row>
    <row r="129">
      <c r="A129" t="inlineStr" s="14">
        <is>
          <t xml:space="preserve">Dimensions</t>
        </is>
      </c>
    </row>
    <row r="130">
      <c r="A130" t="inlineStr" s="15">
        <is>
          <t xml:space="preserve">Plan Tier</t>
        </is>
      </c>
      <c r="B130" t="inlineStr" s="22">
        <is>
          <t xml:space="preserve">Starter</t>
        </is>
      </c>
      <c r="C130" t="inlineStr" s="22">
        <is>
          <t xml:space="preserve">Team</t>
        </is>
      </c>
    </row>
  </sheetData>
  <mergeCells count="2">
    <mergeCell ref="A1:AB1"/>
    <mergeCell ref="A2:AB2"/>
  </mergeCells>
</worksheet>
</file>