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onthly P&amp;L, cash and runway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;(&quot;$&quot;#,##0)"/>
    <numFmt numFmtId="166" formatCode="&quot;$&quot;#,##0.00;(&quot;$&quot;#,##0.00)"/>
    <numFmt numFmtId="167" formatCode="0.0%"/>
    <numFmt numFmtId="168" formatCode="#,##0.0;(#,##0.0)"/>
    <numFmt numFmtId="169" formatCode="0%"/>
    <numFmt numFmtId="170" formatCode="&quot;$&quot;#,##0.0000;(&quot;$&quot;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165" fontId="3" fillId="5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9" fontId="0" fillId="0" borderId="0" xfId="0" applyNumberFormat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3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Monthly P&amp;L, cash and runway</t>
        </is>
      </c>
    </row>
    <row r="2" ht="20" customHeight="1">
      <c r="A2" t="inlineStr" s="2">
        <is>
          <t xml:space="preserve">Monthly P&amp;L &amp; Cash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  <c r="T4" t="inlineStr" s="4">
        <is>
          <t xml:space="preserve">2028-05</t>
        </is>
      </c>
      <c r="U4" t="inlineStr" s="4">
        <is>
          <t xml:space="preserve">2028-06</t>
        </is>
      </c>
      <c r="V4" t="inlineStr" s="5">
        <is>
          <t xml:space="preserve">2028-07</t>
        </is>
      </c>
      <c r="W4" t="inlineStr" s="4">
        <is>
          <t xml:space="preserve">2028-08</t>
        </is>
      </c>
      <c r="X4" t="inlineStr" s="4">
        <is>
          <t xml:space="preserve">2028-09</t>
        </is>
      </c>
      <c r="Y4" t="inlineStr" s="5">
        <is>
          <t xml:space="preserve">2028-10</t>
        </is>
      </c>
    </row>
    <row r="5">
      <c r="A5" t="inlineStr" s="6">
        <is>
          <t xml:space="preserve">Model month</t>
        </is>
      </c>
      <c r="B5" s="7">
        <f>IFERROR(DATEDIF(DATE(2026,11,1),DATE(2026,11,1),"M")+1,0)</f>
        <v>1</v>
      </c>
      <c r="C5" s="7">
        <f>IFERROR(DATEDIF(DATE(2026,11,1),DATE(2026,12,1),"M")+1,0)</f>
        <v>2</v>
      </c>
      <c r="D5" s="7">
        <f>IFERROR(DATEDIF(DATE(2026,11,1),DATE(2027,1,1),"M")+1,0)</f>
        <v>3</v>
      </c>
      <c r="E5" s="7">
        <f>IFERROR(DATEDIF(DATE(2026,11,1),DATE(2027,2,1),"M")+1,0)</f>
        <v>4</v>
      </c>
      <c r="F5" s="7">
        <f>IFERROR(DATEDIF(DATE(2026,11,1),DATE(2027,3,1),"M")+1,0)</f>
        <v>5</v>
      </c>
      <c r="G5" s="7">
        <f>IFERROR(DATEDIF(DATE(2026,11,1),DATE(2027,4,1),"M")+1,0)</f>
        <v>6</v>
      </c>
      <c r="H5" s="7">
        <f>IFERROR(DATEDIF(DATE(2026,11,1),DATE(2027,5,1),"M")+1,0)</f>
        <v>7</v>
      </c>
      <c r="I5" s="7">
        <f>IFERROR(DATEDIF(DATE(2026,11,1),DATE(2027,6,1),"M")+1,0)</f>
        <v>8</v>
      </c>
      <c r="J5" s="7">
        <f>IFERROR(DATEDIF(DATE(2026,11,1),DATE(2027,7,1),"M")+1,0)</f>
        <v>9</v>
      </c>
      <c r="K5" s="7">
        <f>IFERROR(DATEDIF(DATE(2026,11,1),DATE(2027,8,1),"M")+1,0)</f>
        <v>10</v>
      </c>
      <c r="L5" s="7">
        <f>IFERROR(DATEDIF(DATE(2026,11,1),DATE(2027,9,1),"M")+1,0)</f>
        <v>11</v>
      </c>
      <c r="M5" s="7">
        <f>IFERROR(DATEDIF(DATE(2026,11,1),DATE(2027,10,1),"M")+1,0)</f>
        <v>12</v>
      </c>
      <c r="N5" s="7">
        <f>IFERROR(DATEDIF(DATE(2026,11,1),DATE(2027,11,1),"M")+1,0)</f>
        <v>13</v>
      </c>
      <c r="O5" s="7">
        <f>IFERROR(DATEDIF(DATE(2026,11,1),DATE(2027,12,1),"M")+1,0)</f>
        <v>14</v>
      </c>
      <c r="P5" s="7">
        <f>IFERROR(DATEDIF(DATE(2026,11,1),DATE(2028,1,1),"M")+1,0)</f>
        <v>15</v>
      </c>
      <c r="Q5" s="7">
        <f>IFERROR(DATEDIF(DATE(2026,11,1),DATE(2028,2,1),"M")+1,0)</f>
        <v>16</v>
      </c>
      <c r="R5" s="7">
        <f>IFERROR(DATEDIF(DATE(2026,11,1),DATE(2028,3,1),"M")+1,0)</f>
        <v>17</v>
      </c>
      <c r="S5" s="7">
        <f>IFERROR(DATEDIF(DATE(2026,11,1),DATE(2028,4,1),"M")+1,0)</f>
        <v>18</v>
      </c>
      <c r="T5" s="7">
        <f>IFERROR(DATEDIF(DATE(2026,11,1),DATE(2028,5,1),"M")+1,0)</f>
        <v>19</v>
      </c>
      <c r="U5" s="7">
        <f>IFERROR(DATEDIF(DATE(2026,11,1),DATE(2028,6,1),"M")+1,0)</f>
        <v>20</v>
      </c>
      <c r="V5" s="7">
        <f>IFERROR(DATEDIF(DATE(2026,11,1),DATE(2028,7,1),"M")+1,0)</f>
        <v>21</v>
      </c>
      <c r="W5" s="7">
        <f>IFERROR(DATEDIF(DATE(2026,11,1),DATE(2028,8,1),"M")+1,0)</f>
        <v>22</v>
      </c>
      <c r="X5" s="7">
        <f>IFERROR(DATEDIF(DATE(2026,11,1),DATE(2028,9,1),"M")+1,0)</f>
        <v>23</v>
      </c>
      <c r="Y5" s="7">
        <f>IFERROR(DATEDIF(DATE(2026,11,1),DATE(2028,10,1),"M")+1,0)</f>
        <v>24</v>
      </c>
    </row>
    <row r="6">
      <c r="A6" t="inlineStr" s="6">
        <is>
          <t xml:space="preserve">Customers</t>
        </is>
      </c>
      <c r="B6" s="7">
        <f>SUM('Monthly P&amp;L, cash and runway'!B7,'Monthly P&amp;L, cash and runway'!B8)</f>
        <v>0</v>
      </c>
      <c r="C6" s="7">
        <f>SUM('Monthly P&amp;L, cash and runway'!C7,'Monthly P&amp;L, cash and runway'!C8)</f>
        <v>0</v>
      </c>
      <c r="D6" s="7">
        <f>SUM('Monthly P&amp;L, cash and runway'!D7,'Monthly P&amp;L, cash and runway'!D8)</f>
        <v>0</v>
      </c>
      <c r="E6" s="7">
        <f>SUM('Monthly P&amp;L, cash and runway'!E7,'Monthly P&amp;L, cash and runway'!E8)</f>
        <v>2</v>
      </c>
      <c r="F6" s="7">
        <f>SUM('Monthly P&amp;L, cash and runway'!F7,'Monthly P&amp;L, cash and runway'!F8)</f>
        <v>4</v>
      </c>
      <c r="G6" s="7">
        <f>SUM('Monthly P&amp;L, cash and runway'!G7,'Monthly P&amp;L, cash and runway'!G8)</f>
        <v>6</v>
      </c>
      <c r="H6" s="7">
        <f>SUM('Monthly P&amp;L, cash and runway'!H7,'Monthly P&amp;L, cash and runway'!H8)</f>
        <v>8</v>
      </c>
      <c r="I6" s="7">
        <f>SUM('Monthly P&amp;L, cash and runway'!I7,'Monthly P&amp;L, cash and runway'!I8)</f>
        <v>10</v>
      </c>
      <c r="J6" s="7">
        <f>SUM('Monthly P&amp;L, cash and runway'!J7,'Monthly P&amp;L, cash and runway'!J8)</f>
        <v>12</v>
      </c>
      <c r="K6" s="7">
        <f>SUM('Monthly P&amp;L, cash and runway'!K7,'Monthly P&amp;L, cash and runway'!K8)</f>
        <v>14</v>
      </c>
      <c r="L6" s="7">
        <f>SUM('Monthly P&amp;L, cash and runway'!L7,'Monthly P&amp;L, cash and runway'!L8)</f>
        <v>16</v>
      </c>
      <c r="M6" s="7">
        <f>SUM('Monthly P&amp;L, cash and runway'!M7,'Monthly P&amp;L, cash and runway'!M8)</f>
        <v>18</v>
      </c>
      <c r="N6" s="7">
        <f>SUM('Monthly P&amp;L, cash and runway'!N7,'Monthly P&amp;L, cash and runway'!N8)</f>
        <v>21</v>
      </c>
      <c r="O6" s="7">
        <f>SUM('Monthly P&amp;L, cash and runway'!O7,'Monthly P&amp;L, cash and runway'!O8)</f>
        <v>23</v>
      </c>
      <c r="P6" s="7">
        <f>SUM('Monthly P&amp;L, cash and runway'!P7,'Monthly P&amp;L, cash and runway'!P8)</f>
        <v>26</v>
      </c>
      <c r="Q6" s="7">
        <f>SUM('Monthly P&amp;L, cash and runway'!Q7,'Monthly P&amp;L, cash and runway'!Q8)</f>
        <v>28</v>
      </c>
      <c r="R6" s="7">
        <f>SUM('Monthly P&amp;L, cash and runway'!R7,'Monthly P&amp;L, cash and runway'!R8)</f>
        <v>31</v>
      </c>
      <c r="S6" s="7">
        <f>SUM('Monthly P&amp;L, cash and runway'!S7,'Monthly P&amp;L, cash and runway'!S8)</f>
        <v>35</v>
      </c>
      <c r="T6" s="7">
        <f>SUM('Monthly P&amp;L, cash and runway'!T7,'Monthly P&amp;L, cash and runway'!T8)</f>
        <v>37</v>
      </c>
      <c r="U6" s="7">
        <f>SUM('Monthly P&amp;L, cash and runway'!U7,'Monthly P&amp;L, cash and runway'!U8)</f>
        <v>40</v>
      </c>
      <c r="V6" s="7">
        <f>SUM('Monthly P&amp;L, cash and runway'!V7,'Monthly P&amp;L, cash and runway'!V8)</f>
        <v>42</v>
      </c>
      <c r="W6" s="7">
        <f>SUM('Monthly P&amp;L, cash and runway'!W7,'Monthly P&amp;L, cash and runway'!W8)</f>
        <v>45</v>
      </c>
      <c r="X6" s="7">
        <f>SUM('Monthly P&amp;L, cash and runway'!X7,'Monthly P&amp;L, cash and runway'!X8)</f>
        <v>47</v>
      </c>
      <c r="Y6" s="7">
        <f>SUM('Monthly P&amp;L, cash and runway'!Y7,'Monthly P&amp;L, cash and runway'!Y8)</f>
        <v>50</v>
      </c>
    </row>
    <row r="7" outlineLevel="1">
      <c r="A7" t="inlineStr" s="8">
        <is>
          <t xml:space="preserve">Starter</t>
        </is>
      </c>
      <c r="B7" s="9">
        <f>IF(IF(IF(ISERROR('Monthly P&amp;L, cash and runway'!B5&lt;1),'Monthly P&amp;L, cash and runway'!B5&lt;1,IF('Monthly P&amp;L, cash and runway'!B5="","",'Monthly P&amp;L, cash and runway'!B5&lt;1))="",FALSE,IF(ISERROR('Monthly P&amp;L, cash and runway'!B5&lt;1),'Monthly P&amp;L, cash and runway'!B5&lt;1,IF('Monthly P&amp;L, cash and runway'!B5="","",'Monthly P&amp;L, cash and runway'!B5&lt;1))),0,ROUND(IF(IF(IF(ISERROR('Monthly P&amp;L, cash and runway'!B5&lt;=3),'Monthly P&amp;L, cash and runway'!B5&lt;=3,IF('Monthly P&amp;L, cash and runway'!B5="","",'Monthly P&amp;L, cash and runway'!B5&lt;=3))="",FALSE,IF(ISERROR('Monthly P&amp;L, cash and runway'!B5&lt;=3),'Monthly P&amp;L, cash and runway'!B5&lt;=3,IF('Monthly P&amp;L, cash and runway'!B5="","",'Monthly P&amp;L, cash and runway'!B5&lt;=3))),IF('Model inputs'!B52="","",'Model inputs'!B52),IF(IF(IF(ISERROR('Monthly P&amp;L, cash and runway'!B5&lt;=6),'Monthly P&amp;L, cash and runway'!B5&lt;=6,IF('Monthly P&amp;L, cash and runway'!B5="","",'Monthly P&amp;L, cash and runway'!B5&lt;=6))="",FALSE,IF(ISERROR('Monthly P&amp;L, cash and runway'!B5&lt;=6),'Monthly P&amp;L, cash and runway'!B5&lt;=6,IF('Monthly P&amp;L, cash and runway'!B5="","",'Monthly P&amp;L, cash and runway'!B5&lt;=6))),'Model inputs'!B52+('Model inputs'!B55-'Model inputs'!B52)*('Monthly P&amp;L, cash and runway'!B5-3)/3,IF(IF(IF(ISERROR('Monthly P&amp;L, cash and runway'!B5&lt;=12),'Monthly P&amp;L, cash and runway'!B5&lt;=12,IF('Monthly P&amp;L, cash and runway'!B5="","",'Monthly P&amp;L, cash and runway'!B5&lt;=12))="",FALSE,IF(ISERROR('Monthly P&amp;L, cash and runway'!B5&lt;=12),'Monthly P&amp;L, cash and runway'!B5&lt;=12,IF('Monthly P&amp;L, cash and runway'!B5="","",'Monthly P&amp;L, cash and runway'!B5&lt;=12))),'Model inputs'!B55+('Model inputs'!B46-'Model inputs'!B55)*('Monthly P&amp;L, cash and runway'!B5-6)/6,'Model inputs'!B46+('Model inputs'!B49-'Model inputs'!B46)*('Monthly P&amp;L, cash and runway'!B5-12)/12))),0))</f>
        <v>0</v>
      </c>
      <c r="C7" s="9">
        <f>IF(IF(IF(ISERROR('Monthly P&amp;L, cash and runway'!C5&lt;1),'Monthly P&amp;L, cash and runway'!C5&lt;1,IF('Monthly P&amp;L, cash and runway'!C5="","",'Monthly P&amp;L, cash and runway'!C5&lt;1))="",FALSE,IF(ISERROR('Monthly P&amp;L, cash and runway'!C5&lt;1),'Monthly P&amp;L, cash and runway'!C5&lt;1,IF('Monthly P&amp;L, cash and runway'!C5="","",'Monthly P&amp;L, cash and runway'!C5&lt;1))),0,ROUND(IF(IF(IF(ISERROR('Monthly P&amp;L, cash and runway'!C5&lt;=3),'Monthly P&amp;L, cash and runway'!C5&lt;=3,IF('Monthly P&amp;L, cash and runway'!C5="","",'Monthly P&amp;L, cash and runway'!C5&lt;=3))="",FALSE,IF(ISERROR('Monthly P&amp;L, cash and runway'!C5&lt;=3),'Monthly P&amp;L, cash and runway'!C5&lt;=3,IF('Monthly P&amp;L, cash and runway'!C5="","",'Monthly P&amp;L, cash and runway'!C5&lt;=3))),IF('Model inputs'!B52="","",'Model inputs'!B52),IF(IF(IF(ISERROR('Monthly P&amp;L, cash and runway'!C5&lt;=6),'Monthly P&amp;L, cash and runway'!C5&lt;=6,IF('Monthly P&amp;L, cash and runway'!C5="","",'Monthly P&amp;L, cash and runway'!C5&lt;=6))="",FALSE,IF(ISERROR('Monthly P&amp;L, cash and runway'!C5&lt;=6),'Monthly P&amp;L, cash and runway'!C5&lt;=6,IF('Monthly P&amp;L, cash and runway'!C5="","",'Monthly P&amp;L, cash and runway'!C5&lt;=6))),'Model inputs'!B52+('Model inputs'!B55-'Model inputs'!B52)*('Monthly P&amp;L, cash and runway'!C5-3)/3,IF(IF(IF(ISERROR('Monthly P&amp;L, cash and runway'!C5&lt;=12),'Monthly P&amp;L, cash and runway'!C5&lt;=12,IF('Monthly P&amp;L, cash and runway'!C5="","",'Monthly P&amp;L, cash and runway'!C5&lt;=12))="",FALSE,IF(ISERROR('Monthly P&amp;L, cash and runway'!C5&lt;=12),'Monthly P&amp;L, cash and runway'!C5&lt;=12,IF('Monthly P&amp;L, cash and runway'!C5="","",'Monthly P&amp;L, cash and runway'!C5&lt;=12))),'Model inputs'!B55+('Model inputs'!B46-'Model inputs'!B55)*('Monthly P&amp;L, cash and runway'!C5-6)/6,'Model inputs'!B46+('Model inputs'!B49-'Model inputs'!B46)*('Monthly P&amp;L, cash and runway'!C5-12)/12))),0))</f>
        <v>0</v>
      </c>
      <c r="D7" s="9">
        <f>IF(IF(IF(ISERROR('Monthly P&amp;L, cash and runway'!D5&lt;1),'Monthly P&amp;L, cash and runway'!D5&lt;1,IF('Monthly P&amp;L, cash and runway'!D5="","",'Monthly P&amp;L, cash and runway'!D5&lt;1))="",FALSE,IF(ISERROR('Monthly P&amp;L, cash and runway'!D5&lt;1),'Monthly P&amp;L, cash and runway'!D5&lt;1,IF('Monthly P&amp;L, cash and runway'!D5="","",'Monthly P&amp;L, cash and runway'!D5&lt;1))),0,ROUND(IF(IF(IF(ISERROR('Monthly P&amp;L, cash and runway'!D5&lt;=3),'Monthly P&amp;L, cash and runway'!D5&lt;=3,IF('Monthly P&amp;L, cash and runway'!D5="","",'Monthly P&amp;L, cash and runway'!D5&lt;=3))="",FALSE,IF(ISERROR('Monthly P&amp;L, cash and runway'!D5&lt;=3),'Monthly P&amp;L, cash and runway'!D5&lt;=3,IF('Monthly P&amp;L, cash and runway'!D5="","",'Monthly P&amp;L, cash and runway'!D5&lt;=3))),IF('Model inputs'!B52="","",'Model inputs'!B52),IF(IF(IF(ISERROR('Monthly P&amp;L, cash and runway'!D5&lt;=6),'Monthly P&amp;L, cash and runway'!D5&lt;=6,IF('Monthly P&amp;L, cash and runway'!D5="","",'Monthly P&amp;L, cash and runway'!D5&lt;=6))="",FALSE,IF(ISERROR('Monthly P&amp;L, cash and runway'!D5&lt;=6),'Monthly P&amp;L, cash and runway'!D5&lt;=6,IF('Monthly P&amp;L, cash and runway'!D5="","",'Monthly P&amp;L, cash and runway'!D5&lt;=6))),'Model inputs'!B52+('Model inputs'!B55-'Model inputs'!B52)*('Monthly P&amp;L, cash and runway'!D5-3)/3,IF(IF(IF(ISERROR('Monthly P&amp;L, cash and runway'!D5&lt;=12),'Monthly P&amp;L, cash and runway'!D5&lt;=12,IF('Monthly P&amp;L, cash and runway'!D5="","",'Monthly P&amp;L, cash and runway'!D5&lt;=12))="",FALSE,IF(ISERROR('Monthly P&amp;L, cash and runway'!D5&lt;=12),'Monthly P&amp;L, cash and runway'!D5&lt;=12,IF('Monthly P&amp;L, cash and runway'!D5="","",'Monthly P&amp;L, cash and runway'!D5&lt;=12))),'Model inputs'!B55+('Model inputs'!B46-'Model inputs'!B55)*('Monthly P&amp;L, cash and runway'!D5-6)/6,'Model inputs'!B46+('Model inputs'!B49-'Model inputs'!B46)*('Monthly P&amp;L, cash and runway'!D5-12)/12))),0))</f>
        <v>0</v>
      </c>
      <c r="E7" s="9">
        <f>IF(IF(IF(ISERROR('Monthly P&amp;L, cash and runway'!E5&lt;1),'Monthly P&amp;L, cash and runway'!E5&lt;1,IF('Monthly P&amp;L, cash and runway'!E5="","",'Monthly P&amp;L, cash and runway'!E5&lt;1))="",FALSE,IF(ISERROR('Monthly P&amp;L, cash and runway'!E5&lt;1),'Monthly P&amp;L, cash and runway'!E5&lt;1,IF('Monthly P&amp;L, cash and runway'!E5="","",'Monthly P&amp;L, cash and runway'!E5&lt;1))),0,ROUND(IF(IF(IF(ISERROR('Monthly P&amp;L, cash and runway'!E5&lt;=3),'Monthly P&amp;L, cash and runway'!E5&lt;=3,IF('Monthly P&amp;L, cash and runway'!E5="","",'Monthly P&amp;L, cash and runway'!E5&lt;=3))="",FALSE,IF(ISERROR('Monthly P&amp;L, cash and runway'!E5&lt;=3),'Monthly P&amp;L, cash and runway'!E5&lt;=3,IF('Monthly P&amp;L, cash and runway'!E5="","",'Monthly P&amp;L, cash and runway'!E5&lt;=3))),IF('Model inputs'!B52="","",'Model inputs'!B52),IF(IF(IF(ISERROR('Monthly P&amp;L, cash and runway'!E5&lt;=6),'Monthly P&amp;L, cash and runway'!E5&lt;=6,IF('Monthly P&amp;L, cash and runway'!E5="","",'Monthly P&amp;L, cash and runway'!E5&lt;=6))="",FALSE,IF(ISERROR('Monthly P&amp;L, cash and runway'!E5&lt;=6),'Monthly P&amp;L, cash and runway'!E5&lt;=6,IF('Monthly P&amp;L, cash and runway'!E5="","",'Monthly P&amp;L, cash and runway'!E5&lt;=6))),'Model inputs'!B52+('Model inputs'!B55-'Model inputs'!B52)*('Monthly P&amp;L, cash and runway'!E5-3)/3,IF(IF(IF(ISERROR('Monthly P&amp;L, cash and runway'!E5&lt;=12),'Monthly P&amp;L, cash and runway'!E5&lt;=12,IF('Monthly P&amp;L, cash and runway'!E5="","",'Monthly P&amp;L, cash and runway'!E5&lt;=12))="",FALSE,IF(ISERROR('Monthly P&amp;L, cash and runway'!E5&lt;=12),'Monthly P&amp;L, cash and runway'!E5&lt;=12,IF('Monthly P&amp;L, cash and runway'!E5="","",'Monthly P&amp;L, cash and runway'!E5&lt;=12))),'Model inputs'!B55+('Model inputs'!B46-'Model inputs'!B55)*('Monthly P&amp;L, cash and runway'!E5-6)/6,'Model inputs'!B46+('Model inputs'!B49-'Model inputs'!B46)*('Monthly P&amp;L, cash and runway'!E5-12)/12))),0))</f>
        <v>2</v>
      </c>
      <c r="F7" s="9">
        <f>IF(IF(IF(ISERROR('Monthly P&amp;L, cash and runway'!F5&lt;1),'Monthly P&amp;L, cash and runway'!F5&lt;1,IF('Monthly P&amp;L, cash and runway'!F5="","",'Monthly P&amp;L, cash and runway'!F5&lt;1))="",FALSE,IF(ISERROR('Monthly P&amp;L, cash and runway'!F5&lt;1),'Monthly P&amp;L, cash and runway'!F5&lt;1,IF('Monthly P&amp;L, cash and runway'!F5="","",'Monthly P&amp;L, cash and runway'!F5&lt;1))),0,ROUND(IF(IF(IF(ISERROR('Monthly P&amp;L, cash and runway'!F5&lt;=3),'Monthly P&amp;L, cash and runway'!F5&lt;=3,IF('Monthly P&amp;L, cash and runway'!F5="","",'Monthly P&amp;L, cash and runway'!F5&lt;=3))="",FALSE,IF(ISERROR('Monthly P&amp;L, cash and runway'!F5&lt;=3),'Monthly P&amp;L, cash and runway'!F5&lt;=3,IF('Monthly P&amp;L, cash and runway'!F5="","",'Monthly P&amp;L, cash and runway'!F5&lt;=3))),IF('Model inputs'!B52="","",'Model inputs'!B52),IF(IF(IF(ISERROR('Monthly P&amp;L, cash and runway'!F5&lt;=6),'Monthly P&amp;L, cash and runway'!F5&lt;=6,IF('Monthly P&amp;L, cash and runway'!F5="","",'Monthly P&amp;L, cash and runway'!F5&lt;=6))="",FALSE,IF(ISERROR('Monthly P&amp;L, cash and runway'!F5&lt;=6),'Monthly P&amp;L, cash and runway'!F5&lt;=6,IF('Monthly P&amp;L, cash and runway'!F5="","",'Monthly P&amp;L, cash and runway'!F5&lt;=6))),'Model inputs'!B52+('Model inputs'!B55-'Model inputs'!B52)*('Monthly P&amp;L, cash and runway'!F5-3)/3,IF(IF(IF(ISERROR('Monthly P&amp;L, cash and runway'!F5&lt;=12),'Monthly P&amp;L, cash and runway'!F5&lt;=12,IF('Monthly P&amp;L, cash and runway'!F5="","",'Monthly P&amp;L, cash and runway'!F5&lt;=12))="",FALSE,IF(ISERROR('Monthly P&amp;L, cash and runway'!F5&lt;=12),'Monthly P&amp;L, cash and runway'!F5&lt;=12,IF('Monthly P&amp;L, cash and runway'!F5="","",'Monthly P&amp;L, cash and runway'!F5&lt;=12))),'Model inputs'!B55+('Model inputs'!B46-'Model inputs'!B55)*('Monthly P&amp;L, cash and runway'!F5-6)/6,'Model inputs'!B46+('Model inputs'!B49-'Model inputs'!B46)*('Monthly P&amp;L, cash and runway'!F5-12)/12))),0))</f>
        <v>3</v>
      </c>
      <c r="G7" s="9">
        <f>IF(IF(IF(ISERROR('Monthly P&amp;L, cash and runway'!G5&lt;1),'Monthly P&amp;L, cash and runway'!G5&lt;1,IF('Monthly P&amp;L, cash and runway'!G5="","",'Monthly P&amp;L, cash and runway'!G5&lt;1))="",FALSE,IF(ISERROR('Monthly P&amp;L, cash and runway'!G5&lt;1),'Monthly P&amp;L, cash and runway'!G5&lt;1,IF('Monthly P&amp;L, cash and runway'!G5="","",'Monthly P&amp;L, cash and runway'!G5&lt;1))),0,ROUND(IF(IF(IF(ISERROR('Monthly P&amp;L, cash and runway'!G5&lt;=3),'Monthly P&amp;L, cash and runway'!G5&lt;=3,IF('Monthly P&amp;L, cash and runway'!G5="","",'Monthly P&amp;L, cash and runway'!G5&lt;=3))="",FALSE,IF(ISERROR('Monthly P&amp;L, cash and runway'!G5&lt;=3),'Monthly P&amp;L, cash and runway'!G5&lt;=3,IF('Monthly P&amp;L, cash and runway'!G5="","",'Monthly P&amp;L, cash and runway'!G5&lt;=3))),IF('Model inputs'!B52="","",'Model inputs'!B52),IF(IF(IF(ISERROR('Monthly P&amp;L, cash and runway'!G5&lt;=6),'Monthly P&amp;L, cash and runway'!G5&lt;=6,IF('Monthly P&amp;L, cash and runway'!G5="","",'Monthly P&amp;L, cash and runway'!G5&lt;=6))="",FALSE,IF(ISERROR('Monthly P&amp;L, cash and runway'!G5&lt;=6),'Monthly P&amp;L, cash and runway'!G5&lt;=6,IF('Monthly P&amp;L, cash and runway'!G5="","",'Monthly P&amp;L, cash and runway'!G5&lt;=6))),'Model inputs'!B52+('Model inputs'!B55-'Model inputs'!B52)*('Monthly P&amp;L, cash and runway'!G5-3)/3,IF(IF(IF(ISERROR('Monthly P&amp;L, cash and runway'!G5&lt;=12),'Monthly P&amp;L, cash and runway'!G5&lt;=12,IF('Monthly P&amp;L, cash and runway'!G5="","",'Monthly P&amp;L, cash and runway'!G5&lt;=12))="",FALSE,IF(ISERROR('Monthly P&amp;L, cash and runway'!G5&lt;=12),'Monthly P&amp;L, cash and runway'!G5&lt;=12,IF('Monthly P&amp;L, cash and runway'!G5="","",'Monthly P&amp;L, cash and runway'!G5&lt;=12))),'Model inputs'!B55+('Model inputs'!B46-'Model inputs'!B55)*('Monthly P&amp;L, cash and runway'!G5-6)/6,'Model inputs'!B46+('Model inputs'!B49-'Model inputs'!B46)*('Monthly P&amp;L, cash and runway'!G5-12)/12))),0))</f>
        <v>5</v>
      </c>
      <c r="H7" s="9">
        <f>IF(IF(IF(ISERROR('Monthly P&amp;L, cash and runway'!H5&lt;1),'Monthly P&amp;L, cash and runway'!H5&lt;1,IF('Monthly P&amp;L, cash and runway'!H5="","",'Monthly P&amp;L, cash and runway'!H5&lt;1))="",FALSE,IF(ISERROR('Monthly P&amp;L, cash and runway'!H5&lt;1),'Monthly P&amp;L, cash and runway'!H5&lt;1,IF('Monthly P&amp;L, cash and runway'!H5="","",'Monthly P&amp;L, cash and runway'!H5&lt;1))),0,ROUND(IF(IF(IF(ISERROR('Monthly P&amp;L, cash and runway'!H5&lt;=3),'Monthly P&amp;L, cash and runway'!H5&lt;=3,IF('Monthly P&amp;L, cash and runway'!H5="","",'Monthly P&amp;L, cash and runway'!H5&lt;=3))="",FALSE,IF(ISERROR('Monthly P&amp;L, cash and runway'!H5&lt;=3),'Monthly P&amp;L, cash and runway'!H5&lt;=3,IF('Monthly P&amp;L, cash and runway'!H5="","",'Monthly P&amp;L, cash and runway'!H5&lt;=3))),IF('Model inputs'!B52="","",'Model inputs'!B52),IF(IF(IF(ISERROR('Monthly P&amp;L, cash and runway'!H5&lt;=6),'Monthly P&amp;L, cash and runway'!H5&lt;=6,IF('Monthly P&amp;L, cash and runway'!H5="","",'Monthly P&amp;L, cash and runway'!H5&lt;=6))="",FALSE,IF(ISERROR('Monthly P&amp;L, cash and runway'!H5&lt;=6),'Monthly P&amp;L, cash and runway'!H5&lt;=6,IF('Monthly P&amp;L, cash and runway'!H5="","",'Monthly P&amp;L, cash and runway'!H5&lt;=6))),'Model inputs'!B52+('Model inputs'!B55-'Model inputs'!B52)*('Monthly P&amp;L, cash and runway'!H5-3)/3,IF(IF(IF(ISERROR('Monthly P&amp;L, cash and runway'!H5&lt;=12),'Monthly P&amp;L, cash and runway'!H5&lt;=12,IF('Monthly P&amp;L, cash and runway'!H5="","",'Monthly P&amp;L, cash and runway'!H5&lt;=12))="",FALSE,IF(ISERROR('Monthly P&amp;L, cash and runway'!H5&lt;=12),'Monthly P&amp;L, cash and runway'!H5&lt;=12,IF('Monthly P&amp;L, cash and runway'!H5="","",'Monthly P&amp;L, cash and runway'!H5&lt;=12))),'Model inputs'!B55+('Model inputs'!B46-'Model inputs'!B55)*('Monthly P&amp;L, cash and runway'!H5-6)/6,'Model inputs'!B46+('Model inputs'!B49-'Model inputs'!B46)*('Monthly P&amp;L, cash and runway'!H5-12)/12))),0))</f>
        <v>7</v>
      </c>
      <c r="I7" s="9">
        <f>IF(IF(IF(ISERROR('Monthly P&amp;L, cash and runway'!I5&lt;1),'Monthly P&amp;L, cash and runway'!I5&lt;1,IF('Monthly P&amp;L, cash and runway'!I5="","",'Monthly P&amp;L, cash and runway'!I5&lt;1))="",FALSE,IF(ISERROR('Monthly P&amp;L, cash and runway'!I5&lt;1),'Monthly P&amp;L, cash and runway'!I5&lt;1,IF('Monthly P&amp;L, cash and runway'!I5="","",'Monthly P&amp;L, cash and runway'!I5&lt;1))),0,ROUND(IF(IF(IF(ISERROR('Monthly P&amp;L, cash and runway'!I5&lt;=3),'Monthly P&amp;L, cash and runway'!I5&lt;=3,IF('Monthly P&amp;L, cash and runway'!I5="","",'Monthly P&amp;L, cash and runway'!I5&lt;=3))="",FALSE,IF(ISERROR('Monthly P&amp;L, cash and runway'!I5&lt;=3),'Monthly P&amp;L, cash and runway'!I5&lt;=3,IF('Monthly P&amp;L, cash and runway'!I5="","",'Monthly P&amp;L, cash and runway'!I5&lt;=3))),IF('Model inputs'!B52="","",'Model inputs'!B52),IF(IF(IF(ISERROR('Monthly P&amp;L, cash and runway'!I5&lt;=6),'Monthly P&amp;L, cash and runway'!I5&lt;=6,IF('Monthly P&amp;L, cash and runway'!I5="","",'Monthly P&amp;L, cash and runway'!I5&lt;=6))="",FALSE,IF(ISERROR('Monthly P&amp;L, cash and runway'!I5&lt;=6),'Monthly P&amp;L, cash and runway'!I5&lt;=6,IF('Monthly P&amp;L, cash and runway'!I5="","",'Monthly P&amp;L, cash and runway'!I5&lt;=6))),'Model inputs'!B52+('Model inputs'!B55-'Model inputs'!B52)*('Monthly P&amp;L, cash and runway'!I5-3)/3,IF(IF(IF(ISERROR('Monthly P&amp;L, cash and runway'!I5&lt;=12),'Monthly P&amp;L, cash and runway'!I5&lt;=12,IF('Monthly P&amp;L, cash and runway'!I5="","",'Monthly P&amp;L, cash and runway'!I5&lt;=12))="",FALSE,IF(ISERROR('Monthly P&amp;L, cash and runway'!I5&lt;=12),'Monthly P&amp;L, cash and runway'!I5&lt;=12,IF('Monthly P&amp;L, cash and runway'!I5="","",'Monthly P&amp;L, cash and runway'!I5&lt;=12))),'Model inputs'!B55+('Model inputs'!B46-'Model inputs'!B55)*('Monthly P&amp;L, cash and runway'!I5-6)/6,'Model inputs'!B46+('Model inputs'!B49-'Model inputs'!B46)*('Monthly P&amp;L, cash and runway'!I5-12)/12))),0))</f>
        <v>8</v>
      </c>
      <c r="J7" s="9">
        <f>IF(IF(IF(ISERROR('Monthly P&amp;L, cash and runway'!J5&lt;1),'Monthly P&amp;L, cash and runway'!J5&lt;1,IF('Monthly P&amp;L, cash and runway'!J5="","",'Monthly P&amp;L, cash and runway'!J5&lt;1))="",FALSE,IF(ISERROR('Monthly P&amp;L, cash and runway'!J5&lt;1),'Monthly P&amp;L, cash and runway'!J5&lt;1,IF('Monthly P&amp;L, cash and runway'!J5="","",'Monthly P&amp;L, cash and runway'!J5&lt;1))),0,ROUND(IF(IF(IF(ISERROR('Monthly P&amp;L, cash and runway'!J5&lt;=3),'Monthly P&amp;L, cash and runway'!J5&lt;=3,IF('Monthly P&amp;L, cash and runway'!J5="","",'Monthly P&amp;L, cash and runway'!J5&lt;=3))="",FALSE,IF(ISERROR('Monthly P&amp;L, cash and runway'!J5&lt;=3),'Monthly P&amp;L, cash and runway'!J5&lt;=3,IF('Monthly P&amp;L, cash and runway'!J5="","",'Monthly P&amp;L, cash and runway'!J5&lt;=3))),IF('Model inputs'!B52="","",'Model inputs'!B52),IF(IF(IF(ISERROR('Monthly P&amp;L, cash and runway'!J5&lt;=6),'Monthly P&amp;L, cash and runway'!J5&lt;=6,IF('Monthly P&amp;L, cash and runway'!J5="","",'Monthly P&amp;L, cash and runway'!J5&lt;=6))="",FALSE,IF(ISERROR('Monthly P&amp;L, cash and runway'!J5&lt;=6),'Monthly P&amp;L, cash and runway'!J5&lt;=6,IF('Monthly P&amp;L, cash and runway'!J5="","",'Monthly P&amp;L, cash and runway'!J5&lt;=6))),'Model inputs'!B52+('Model inputs'!B55-'Model inputs'!B52)*('Monthly P&amp;L, cash and runway'!J5-3)/3,IF(IF(IF(ISERROR('Monthly P&amp;L, cash and runway'!J5&lt;=12),'Monthly P&amp;L, cash and runway'!J5&lt;=12,IF('Monthly P&amp;L, cash and runway'!J5="","",'Monthly P&amp;L, cash and runway'!J5&lt;=12))="",FALSE,IF(ISERROR('Monthly P&amp;L, cash and runway'!J5&lt;=12),'Monthly P&amp;L, cash and runway'!J5&lt;=12,IF('Monthly P&amp;L, cash and runway'!J5="","",'Monthly P&amp;L, cash and runway'!J5&lt;=12))),'Model inputs'!B55+('Model inputs'!B46-'Model inputs'!B55)*('Monthly P&amp;L, cash and runway'!J5-6)/6,'Model inputs'!B46+('Model inputs'!B49-'Model inputs'!B46)*('Monthly P&amp;L, cash and runway'!J5-12)/12))),0))</f>
        <v>10</v>
      </c>
      <c r="K7" s="9">
        <f>IF(IF(IF(ISERROR('Monthly P&amp;L, cash and runway'!K5&lt;1),'Monthly P&amp;L, cash and runway'!K5&lt;1,IF('Monthly P&amp;L, cash and runway'!K5="","",'Monthly P&amp;L, cash and runway'!K5&lt;1))="",FALSE,IF(ISERROR('Monthly P&amp;L, cash and runway'!K5&lt;1),'Monthly P&amp;L, cash and runway'!K5&lt;1,IF('Monthly P&amp;L, cash and runway'!K5="","",'Monthly P&amp;L, cash and runway'!K5&lt;1))),0,ROUND(IF(IF(IF(ISERROR('Monthly P&amp;L, cash and runway'!K5&lt;=3),'Monthly P&amp;L, cash and runway'!K5&lt;=3,IF('Monthly P&amp;L, cash and runway'!K5="","",'Monthly P&amp;L, cash and runway'!K5&lt;=3))="",FALSE,IF(ISERROR('Monthly P&amp;L, cash and runway'!K5&lt;=3),'Monthly P&amp;L, cash and runway'!K5&lt;=3,IF('Monthly P&amp;L, cash and runway'!K5="","",'Monthly P&amp;L, cash and runway'!K5&lt;=3))),IF('Model inputs'!B52="","",'Model inputs'!B52),IF(IF(IF(ISERROR('Monthly P&amp;L, cash and runway'!K5&lt;=6),'Monthly P&amp;L, cash and runway'!K5&lt;=6,IF('Monthly P&amp;L, cash and runway'!K5="","",'Monthly P&amp;L, cash and runway'!K5&lt;=6))="",FALSE,IF(ISERROR('Monthly P&amp;L, cash and runway'!K5&lt;=6),'Monthly P&amp;L, cash and runway'!K5&lt;=6,IF('Monthly P&amp;L, cash and runway'!K5="","",'Monthly P&amp;L, cash and runway'!K5&lt;=6))),'Model inputs'!B52+('Model inputs'!B55-'Model inputs'!B52)*('Monthly P&amp;L, cash and runway'!K5-3)/3,IF(IF(IF(ISERROR('Monthly P&amp;L, cash and runway'!K5&lt;=12),'Monthly P&amp;L, cash and runway'!K5&lt;=12,IF('Monthly P&amp;L, cash and runway'!K5="","",'Monthly P&amp;L, cash and runway'!K5&lt;=12))="",FALSE,IF(ISERROR('Monthly P&amp;L, cash and runway'!K5&lt;=12),'Monthly P&amp;L, cash and runway'!K5&lt;=12,IF('Monthly P&amp;L, cash and runway'!K5="","",'Monthly P&amp;L, cash and runway'!K5&lt;=12))),'Model inputs'!B55+('Model inputs'!B46-'Model inputs'!B55)*('Monthly P&amp;L, cash and runway'!K5-6)/6,'Model inputs'!B46+('Model inputs'!B49-'Model inputs'!B46)*('Monthly P&amp;L, cash and runway'!K5-12)/12))),0))</f>
        <v>12</v>
      </c>
      <c r="L7" s="9">
        <f>IF(IF(IF(ISERROR('Monthly P&amp;L, cash and runway'!L5&lt;1),'Monthly P&amp;L, cash and runway'!L5&lt;1,IF('Monthly P&amp;L, cash and runway'!L5="","",'Monthly P&amp;L, cash and runway'!L5&lt;1))="",FALSE,IF(ISERROR('Monthly P&amp;L, cash and runway'!L5&lt;1),'Monthly P&amp;L, cash and runway'!L5&lt;1,IF('Monthly P&amp;L, cash and runway'!L5="","",'Monthly P&amp;L, cash and runway'!L5&lt;1))),0,ROUND(IF(IF(IF(ISERROR('Monthly P&amp;L, cash and runway'!L5&lt;=3),'Monthly P&amp;L, cash and runway'!L5&lt;=3,IF('Monthly P&amp;L, cash and runway'!L5="","",'Monthly P&amp;L, cash and runway'!L5&lt;=3))="",FALSE,IF(ISERROR('Monthly P&amp;L, cash and runway'!L5&lt;=3),'Monthly P&amp;L, cash and runway'!L5&lt;=3,IF('Monthly P&amp;L, cash and runway'!L5="","",'Monthly P&amp;L, cash and runway'!L5&lt;=3))),IF('Model inputs'!B52="","",'Model inputs'!B52),IF(IF(IF(ISERROR('Monthly P&amp;L, cash and runway'!L5&lt;=6),'Monthly P&amp;L, cash and runway'!L5&lt;=6,IF('Monthly P&amp;L, cash and runway'!L5="","",'Monthly P&amp;L, cash and runway'!L5&lt;=6))="",FALSE,IF(ISERROR('Monthly P&amp;L, cash and runway'!L5&lt;=6),'Monthly P&amp;L, cash and runway'!L5&lt;=6,IF('Monthly P&amp;L, cash and runway'!L5="","",'Monthly P&amp;L, cash and runway'!L5&lt;=6))),'Model inputs'!B52+('Model inputs'!B55-'Model inputs'!B52)*('Monthly P&amp;L, cash and runway'!L5-3)/3,IF(IF(IF(ISERROR('Monthly P&amp;L, cash and runway'!L5&lt;=12),'Monthly P&amp;L, cash and runway'!L5&lt;=12,IF('Monthly P&amp;L, cash and runway'!L5="","",'Monthly P&amp;L, cash and runway'!L5&lt;=12))="",FALSE,IF(ISERROR('Monthly P&amp;L, cash and runway'!L5&lt;=12),'Monthly P&amp;L, cash and runway'!L5&lt;=12,IF('Monthly P&amp;L, cash and runway'!L5="","",'Monthly P&amp;L, cash and runway'!L5&lt;=12))),'Model inputs'!B55+('Model inputs'!B46-'Model inputs'!B55)*('Monthly P&amp;L, cash and runway'!L5-6)/6,'Model inputs'!B46+('Model inputs'!B49-'Model inputs'!B46)*('Monthly P&amp;L, cash and runway'!L5-12)/12))),0))</f>
        <v>13</v>
      </c>
      <c r="M7" s="9">
        <f>IF(IF(IF(ISERROR('Monthly P&amp;L, cash and runway'!M5&lt;1),'Monthly P&amp;L, cash and runway'!M5&lt;1,IF('Monthly P&amp;L, cash and runway'!M5="","",'Monthly P&amp;L, cash and runway'!M5&lt;1))="",FALSE,IF(ISERROR('Monthly P&amp;L, cash and runway'!M5&lt;1),'Monthly P&amp;L, cash and runway'!M5&lt;1,IF('Monthly P&amp;L, cash and runway'!M5="","",'Monthly P&amp;L, cash and runway'!M5&lt;1))),0,ROUND(IF(IF(IF(ISERROR('Monthly P&amp;L, cash and runway'!M5&lt;=3),'Monthly P&amp;L, cash and runway'!M5&lt;=3,IF('Monthly P&amp;L, cash and runway'!M5="","",'Monthly P&amp;L, cash and runway'!M5&lt;=3))="",FALSE,IF(ISERROR('Monthly P&amp;L, cash and runway'!M5&lt;=3),'Monthly P&amp;L, cash and runway'!M5&lt;=3,IF('Monthly P&amp;L, cash and runway'!M5="","",'Monthly P&amp;L, cash and runway'!M5&lt;=3))),IF('Model inputs'!B52="","",'Model inputs'!B52),IF(IF(IF(ISERROR('Monthly P&amp;L, cash and runway'!M5&lt;=6),'Monthly P&amp;L, cash and runway'!M5&lt;=6,IF('Monthly P&amp;L, cash and runway'!M5="","",'Monthly P&amp;L, cash and runway'!M5&lt;=6))="",FALSE,IF(ISERROR('Monthly P&amp;L, cash and runway'!M5&lt;=6),'Monthly P&amp;L, cash and runway'!M5&lt;=6,IF('Monthly P&amp;L, cash and runway'!M5="","",'Monthly P&amp;L, cash and runway'!M5&lt;=6))),'Model inputs'!B52+('Model inputs'!B55-'Model inputs'!B52)*('Monthly P&amp;L, cash and runway'!M5-3)/3,IF(IF(IF(ISERROR('Monthly P&amp;L, cash and runway'!M5&lt;=12),'Monthly P&amp;L, cash and runway'!M5&lt;=12,IF('Monthly P&amp;L, cash and runway'!M5="","",'Monthly P&amp;L, cash and runway'!M5&lt;=12))="",FALSE,IF(ISERROR('Monthly P&amp;L, cash and runway'!M5&lt;=12),'Monthly P&amp;L, cash and runway'!M5&lt;=12,IF('Monthly P&amp;L, cash and runway'!M5="","",'Monthly P&amp;L, cash and runway'!M5&lt;=12))),'Model inputs'!B55+('Model inputs'!B46-'Model inputs'!B55)*('Monthly P&amp;L, cash and runway'!M5-6)/6,'Model inputs'!B46+('Model inputs'!B49-'Model inputs'!B46)*('Monthly P&amp;L, cash and runway'!M5-12)/12))),0))</f>
        <v>15</v>
      </c>
      <c r="N7" s="9">
        <f>IF(IF(IF(ISERROR('Monthly P&amp;L, cash and runway'!N5&lt;1),'Monthly P&amp;L, cash and runway'!N5&lt;1,IF('Monthly P&amp;L, cash and runway'!N5="","",'Monthly P&amp;L, cash and runway'!N5&lt;1))="",FALSE,IF(ISERROR('Monthly P&amp;L, cash and runway'!N5&lt;1),'Monthly P&amp;L, cash and runway'!N5&lt;1,IF('Monthly P&amp;L, cash and runway'!N5="","",'Monthly P&amp;L, cash and runway'!N5&lt;1))),0,ROUND(IF(IF(IF(ISERROR('Monthly P&amp;L, cash and runway'!N5&lt;=3),'Monthly P&amp;L, cash and runway'!N5&lt;=3,IF('Monthly P&amp;L, cash and runway'!N5="","",'Monthly P&amp;L, cash and runway'!N5&lt;=3))="",FALSE,IF(ISERROR('Monthly P&amp;L, cash and runway'!N5&lt;=3),'Monthly P&amp;L, cash and runway'!N5&lt;=3,IF('Monthly P&amp;L, cash and runway'!N5="","",'Monthly P&amp;L, cash and runway'!N5&lt;=3))),IF('Model inputs'!B52="","",'Model inputs'!B52),IF(IF(IF(ISERROR('Monthly P&amp;L, cash and runway'!N5&lt;=6),'Monthly P&amp;L, cash and runway'!N5&lt;=6,IF('Monthly P&amp;L, cash and runway'!N5="","",'Monthly P&amp;L, cash and runway'!N5&lt;=6))="",FALSE,IF(ISERROR('Monthly P&amp;L, cash and runway'!N5&lt;=6),'Monthly P&amp;L, cash and runway'!N5&lt;=6,IF('Monthly P&amp;L, cash and runway'!N5="","",'Monthly P&amp;L, cash and runway'!N5&lt;=6))),'Model inputs'!B52+('Model inputs'!B55-'Model inputs'!B52)*('Monthly P&amp;L, cash and runway'!N5-3)/3,IF(IF(IF(ISERROR('Monthly P&amp;L, cash and runway'!N5&lt;=12),'Monthly P&amp;L, cash and runway'!N5&lt;=12,IF('Monthly P&amp;L, cash and runway'!N5="","",'Monthly P&amp;L, cash and runway'!N5&lt;=12))="",FALSE,IF(ISERROR('Monthly P&amp;L, cash and runway'!N5&lt;=12),'Monthly P&amp;L, cash and runway'!N5&lt;=12,IF('Monthly P&amp;L, cash and runway'!N5="","",'Monthly P&amp;L, cash and runway'!N5&lt;=12))),'Model inputs'!B55+('Model inputs'!B46-'Model inputs'!B55)*('Monthly P&amp;L, cash and runway'!N5-6)/6,'Model inputs'!B46+('Model inputs'!B49-'Model inputs'!B46)*('Monthly P&amp;L, cash and runway'!N5-12)/12))),0))</f>
        <v>17</v>
      </c>
      <c r="O7" s="9">
        <f>IF(IF(IF(ISERROR('Monthly P&amp;L, cash and runway'!O5&lt;1),'Monthly P&amp;L, cash and runway'!O5&lt;1,IF('Monthly P&amp;L, cash and runway'!O5="","",'Monthly P&amp;L, cash and runway'!O5&lt;1))="",FALSE,IF(ISERROR('Monthly P&amp;L, cash and runway'!O5&lt;1),'Monthly P&amp;L, cash and runway'!O5&lt;1,IF('Monthly P&amp;L, cash and runway'!O5="","",'Monthly P&amp;L, cash and runway'!O5&lt;1))),0,ROUND(IF(IF(IF(ISERROR('Monthly P&amp;L, cash and runway'!O5&lt;=3),'Monthly P&amp;L, cash and runway'!O5&lt;=3,IF('Monthly P&amp;L, cash and runway'!O5="","",'Monthly P&amp;L, cash and runway'!O5&lt;=3))="",FALSE,IF(ISERROR('Monthly P&amp;L, cash and runway'!O5&lt;=3),'Monthly P&amp;L, cash and runway'!O5&lt;=3,IF('Monthly P&amp;L, cash and runway'!O5="","",'Monthly P&amp;L, cash and runway'!O5&lt;=3))),IF('Model inputs'!B52="","",'Model inputs'!B52),IF(IF(IF(ISERROR('Monthly P&amp;L, cash and runway'!O5&lt;=6),'Monthly P&amp;L, cash and runway'!O5&lt;=6,IF('Monthly P&amp;L, cash and runway'!O5="","",'Monthly P&amp;L, cash and runway'!O5&lt;=6))="",FALSE,IF(ISERROR('Monthly P&amp;L, cash and runway'!O5&lt;=6),'Monthly P&amp;L, cash and runway'!O5&lt;=6,IF('Monthly P&amp;L, cash and runway'!O5="","",'Monthly P&amp;L, cash and runway'!O5&lt;=6))),'Model inputs'!B52+('Model inputs'!B55-'Model inputs'!B52)*('Monthly P&amp;L, cash and runway'!O5-3)/3,IF(IF(IF(ISERROR('Monthly P&amp;L, cash and runway'!O5&lt;=12),'Monthly P&amp;L, cash and runway'!O5&lt;=12,IF('Monthly P&amp;L, cash and runway'!O5="","",'Monthly P&amp;L, cash and runway'!O5&lt;=12))="",FALSE,IF(ISERROR('Monthly P&amp;L, cash and runway'!O5&lt;=12),'Monthly P&amp;L, cash and runway'!O5&lt;=12,IF('Monthly P&amp;L, cash and runway'!O5="","",'Monthly P&amp;L, cash and runway'!O5&lt;=12))),'Model inputs'!B55+('Model inputs'!B46-'Model inputs'!B55)*('Monthly P&amp;L, cash and runway'!O5-6)/6,'Model inputs'!B46+('Model inputs'!B49-'Model inputs'!B46)*('Monthly P&amp;L, cash and runway'!O5-12)/12))),0))</f>
        <v>19</v>
      </c>
      <c r="P7" s="9">
        <f>IF(IF(IF(ISERROR('Monthly P&amp;L, cash and runway'!P5&lt;1),'Monthly P&amp;L, cash and runway'!P5&lt;1,IF('Monthly P&amp;L, cash and runway'!P5="","",'Monthly P&amp;L, cash and runway'!P5&lt;1))="",FALSE,IF(ISERROR('Monthly P&amp;L, cash and runway'!P5&lt;1),'Monthly P&amp;L, cash and runway'!P5&lt;1,IF('Monthly P&amp;L, cash and runway'!P5="","",'Monthly P&amp;L, cash and runway'!P5&lt;1))),0,ROUND(IF(IF(IF(ISERROR('Monthly P&amp;L, cash and runway'!P5&lt;=3),'Monthly P&amp;L, cash and runway'!P5&lt;=3,IF('Monthly P&amp;L, cash and runway'!P5="","",'Monthly P&amp;L, cash and runway'!P5&lt;=3))="",FALSE,IF(ISERROR('Monthly P&amp;L, cash and runway'!P5&lt;=3),'Monthly P&amp;L, cash and runway'!P5&lt;=3,IF('Monthly P&amp;L, cash and runway'!P5="","",'Monthly P&amp;L, cash and runway'!P5&lt;=3))),IF('Model inputs'!B52="","",'Model inputs'!B52),IF(IF(IF(ISERROR('Monthly P&amp;L, cash and runway'!P5&lt;=6),'Monthly P&amp;L, cash and runway'!P5&lt;=6,IF('Monthly P&amp;L, cash and runway'!P5="","",'Monthly P&amp;L, cash and runway'!P5&lt;=6))="",FALSE,IF(ISERROR('Monthly P&amp;L, cash and runway'!P5&lt;=6),'Monthly P&amp;L, cash and runway'!P5&lt;=6,IF('Monthly P&amp;L, cash and runway'!P5="","",'Monthly P&amp;L, cash and runway'!P5&lt;=6))),'Model inputs'!B52+('Model inputs'!B55-'Model inputs'!B52)*('Monthly P&amp;L, cash and runway'!P5-3)/3,IF(IF(IF(ISERROR('Monthly P&amp;L, cash and runway'!P5&lt;=12),'Monthly P&amp;L, cash and runway'!P5&lt;=12,IF('Monthly P&amp;L, cash and runway'!P5="","",'Monthly P&amp;L, cash and runway'!P5&lt;=12))="",FALSE,IF(ISERROR('Monthly P&amp;L, cash and runway'!P5&lt;=12),'Monthly P&amp;L, cash and runway'!P5&lt;=12,IF('Monthly P&amp;L, cash and runway'!P5="","",'Monthly P&amp;L, cash and runway'!P5&lt;=12))),'Model inputs'!B55+('Model inputs'!B46-'Model inputs'!B55)*('Monthly P&amp;L, cash and runway'!P5-6)/6,'Model inputs'!B46+('Model inputs'!B49-'Model inputs'!B46)*('Monthly P&amp;L, cash and runway'!P5-12)/12))),0))</f>
        <v>21</v>
      </c>
      <c r="Q7" s="9">
        <f>IF(IF(IF(ISERROR('Monthly P&amp;L, cash and runway'!Q5&lt;1),'Monthly P&amp;L, cash and runway'!Q5&lt;1,IF('Monthly P&amp;L, cash and runway'!Q5="","",'Monthly P&amp;L, cash and runway'!Q5&lt;1))="",FALSE,IF(ISERROR('Monthly P&amp;L, cash and runway'!Q5&lt;1),'Monthly P&amp;L, cash and runway'!Q5&lt;1,IF('Monthly P&amp;L, cash and runway'!Q5="","",'Monthly P&amp;L, cash and runway'!Q5&lt;1))),0,ROUND(IF(IF(IF(ISERROR('Monthly P&amp;L, cash and runway'!Q5&lt;=3),'Monthly P&amp;L, cash and runway'!Q5&lt;=3,IF('Monthly P&amp;L, cash and runway'!Q5="","",'Monthly P&amp;L, cash and runway'!Q5&lt;=3))="",FALSE,IF(ISERROR('Monthly P&amp;L, cash and runway'!Q5&lt;=3),'Monthly P&amp;L, cash and runway'!Q5&lt;=3,IF('Monthly P&amp;L, cash and runway'!Q5="","",'Monthly P&amp;L, cash and runway'!Q5&lt;=3))),IF('Model inputs'!B52="","",'Model inputs'!B52),IF(IF(IF(ISERROR('Monthly P&amp;L, cash and runway'!Q5&lt;=6),'Monthly P&amp;L, cash and runway'!Q5&lt;=6,IF('Monthly P&amp;L, cash and runway'!Q5="","",'Monthly P&amp;L, cash and runway'!Q5&lt;=6))="",FALSE,IF(ISERROR('Monthly P&amp;L, cash and runway'!Q5&lt;=6),'Monthly P&amp;L, cash and runway'!Q5&lt;=6,IF('Monthly P&amp;L, cash and runway'!Q5="","",'Monthly P&amp;L, cash and runway'!Q5&lt;=6))),'Model inputs'!B52+('Model inputs'!B55-'Model inputs'!B52)*('Monthly P&amp;L, cash and runway'!Q5-3)/3,IF(IF(IF(ISERROR('Monthly P&amp;L, cash and runway'!Q5&lt;=12),'Monthly P&amp;L, cash and runway'!Q5&lt;=12,IF('Monthly P&amp;L, cash and runway'!Q5="","",'Monthly P&amp;L, cash and runway'!Q5&lt;=12))="",FALSE,IF(ISERROR('Monthly P&amp;L, cash and runway'!Q5&lt;=12),'Monthly P&amp;L, cash and runway'!Q5&lt;=12,IF('Monthly P&amp;L, cash and runway'!Q5="","",'Monthly P&amp;L, cash and runway'!Q5&lt;=12))),'Model inputs'!B55+('Model inputs'!B46-'Model inputs'!B55)*('Monthly P&amp;L, cash and runway'!Q5-6)/6,'Model inputs'!B46+('Model inputs'!B49-'Model inputs'!B46)*('Monthly P&amp;L, cash and runway'!Q5-12)/12))),0))</f>
        <v>23</v>
      </c>
      <c r="R7" s="9">
        <f>IF(IF(IF(ISERROR('Monthly P&amp;L, cash and runway'!R5&lt;1),'Monthly P&amp;L, cash and runway'!R5&lt;1,IF('Monthly P&amp;L, cash and runway'!R5="","",'Monthly P&amp;L, cash and runway'!R5&lt;1))="",FALSE,IF(ISERROR('Monthly P&amp;L, cash and runway'!R5&lt;1),'Monthly P&amp;L, cash and runway'!R5&lt;1,IF('Monthly P&amp;L, cash and runway'!R5="","",'Monthly P&amp;L, cash and runway'!R5&lt;1))),0,ROUND(IF(IF(IF(ISERROR('Monthly P&amp;L, cash and runway'!R5&lt;=3),'Monthly P&amp;L, cash and runway'!R5&lt;=3,IF('Monthly P&amp;L, cash and runway'!R5="","",'Monthly P&amp;L, cash and runway'!R5&lt;=3))="",FALSE,IF(ISERROR('Monthly P&amp;L, cash and runway'!R5&lt;=3),'Monthly P&amp;L, cash and runway'!R5&lt;=3,IF('Monthly P&amp;L, cash and runway'!R5="","",'Monthly P&amp;L, cash and runway'!R5&lt;=3))),IF('Model inputs'!B52="","",'Model inputs'!B52),IF(IF(IF(ISERROR('Monthly P&amp;L, cash and runway'!R5&lt;=6),'Monthly P&amp;L, cash and runway'!R5&lt;=6,IF('Monthly P&amp;L, cash and runway'!R5="","",'Monthly P&amp;L, cash and runway'!R5&lt;=6))="",FALSE,IF(ISERROR('Monthly P&amp;L, cash and runway'!R5&lt;=6),'Monthly P&amp;L, cash and runway'!R5&lt;=6,IF('Monthly P&amp;L, cash and runway'!R5="","",'Monthly P&amp;L, cash and runway'!R5&lt;=6))),'Model inputs'!B52+('Model inputs'!B55-'Model inputs'!B52)*('Monthly P&amp;L, cash and runway'!R5-3)/3,IF(IF(IF(ISERROR('Monthly P&amp;L, cash and runway'!R5&lt;=12),'Monthly P&amp;L, cash and runway'!R5&lt;=12,IF('Monthly P&amp;L, cash and runway'!R5="","",'Monthly P&amp;L, cash and runway'!R5&lt;=12))="",FALSE,IF(ISERROR('Monthly P&amp;L, cash and runway'!R5&lt;=12),'Monthly P&amp;L, cash and runway'!R5&lt;=12,IF('Monthly P&amp;L, cash and runway'!R5="","",'Monthly P&amp;L, cash and runway'!R5&lt;=12))),'Model inputs'!B55+('Model inputs'!B46-'Model inputs'!B55)*('Monthly P&amp;L, cash and runway'!R5-6)/6,'Model inputs'!B46+('Model inputs'!B49-'Model inputs'!B46)*('Monthly P&amp;L, cash and runway'!R5-12)/12))),0))</f>
        <v>25</v>
      </c>
      <c r="S7" s="9">
        <f>IF(IF(IF(ISERROR('Monthly P&amp;L, cash and runway'!S5&lt;1),'Monthly P&amp;L, cash and runway'!S5&lt;1,IF('Monthly P&amp;L, cash and runway'!S5="","",'Monthly P&amp;L, cash and runway'!S5&lt;1))="",FALSE,IF(ISERROR('Monthly P&amp;L, cash and runway'!S5&lt;1),'Monthly P&amp;L, cash and runway'!S5&lt;1,IF('Monthly P&amp;L, cash and runway'!S5="","",'Monthly P&amp;L, cash and runway'!S5&lt;1))),0,ROUND(IF(IF(IF(ISERROR('Monthly P&amp;L, cash and runway'!S5&lt;=3),'Monthly P&amp;L, cash and runway'!S5&lt;=3,IF('Monthly P&amp;L, cash and runway'!S5="","",'Monthly P&amp;L, cash and runway'!S5&lt;=3))="",FALSE,IF(ISERROR('Monthly P&amp;L, cash and runway'!S5&lt;=3),'Monthly P&amp;L, cash and runway'!S5&lt;=3,IF('Monthly P&amp;L, cash and runway'!S5="","",'Monthly P&amp;L, cash and runway'!S5&lt;=3))),IF('Model inputs'!B52="","",'Model inputs'!B52),IF(IF(IF(ISERROR('Monthly P&amp;L, cash and runway'!S5&lt;=6),'Monthly P&amp;L, cash and runway'!S5&lt;=6,IF('Monthly P&amp;L, cash and runway'!S5="","",'Monthly P&amp;L, cash and runway'!S5&lt;=6))="",FALSE,IF(ISERROR('Monthly P&amp;L, cash and runway'!S5&lt;=6),'Monthly P&amp;L, cash and runway'!S5&lt;=6,IF('Monthly P&amp;L, cash and runway'!S5="","",'Monthly P&amp;L, cash and runway'!S5&lt;=6))),'Model inputs'!B52+('Model inputs'!B55-'Model inputs'!B52)*('Monthly P&amp;L, cash and runway'!S5-3)/3,IF(IF(IF(ISERROR('Monthly P&amp;L, cash and runway'!S5&lt;=12),'Monthly P&amp;L, cash and runway'!S5&lt;=12,IF('Monthly P&amp;L, cash and runway'!S5="","",'Monthly P&amp;L, cash and runway'!S5&lt;=12))="",FALSE,IF(ISERROR('Monthly P&amp;L, cash and runway'!S5&lt;=12),'Monthly P&amp;L, cash and runway'!S5&lt;=12,IF('Monthly P&amp;L, cash and runway'!S5="","",'Monthly P&amp;L, cash and runway'!S5&lt;=12))),'Model inputs'!B55+('Model inputs'!B46-'Model inputs'!B55)*('Monthly P&amp;L, cash and runway'!S5-6)/6,'Model inputs'!B46+('Model inputs'!B49-'Model inputs'!B46)*('Monthly P&amp;L, cash and runway'!S5-12)/12))),0))</f>
        <v>28</v>
      </c>
      <c r="T7" s="9">
        <f>IF(IF(IF(ISERROR('Monthly P&amp;L, cash and runway'!T5&lt;1),'Monthly P&amp;L, cash and runway'!T5&lt;1,IF('Monthly P&amp;L, cash and runway'!T5="","",'Monthly P&amp;L, cash and runway'!T5&lt;1))="",FALSE,IF(ISERROR('Monthly P&amp;L, cash and runway'!T5&lt;1),'Monthly P&amp;L, cash and runway'!T5&lt;1,IF('Monthly P&amp;L, cash and runway'!T5="","",'Monthly P&amp;L, cash and runway'!T5&lt;1))),0,ROUND(IF(IF(IF(ISERROR('Monthly P&amp;L, cash and runway'!T5&lt;=3),'Monthly P&amp;L, cash and runway'!T5&lt;=3,IF('Monthly P&amp;L, cash and runway'!T5="","",'Monthly P&amp;L, cash and runway'!T5&lt;=3))="",FALSE,IF(ISERROR('Monthly P&amp;L, cash and runway'!T5&lt;=3),'Monthly P&amp;L, cash and runway'!T5&lt;=3,IF('Monthly P&amp;L, cash and runway'!T5="","",'Monthly P&amp;L, cash and runway'!T5&lt;=3))),IF('Model inputs'!B52="","",'Model inputs'!B52),IF(IF(IF(ISERROR('Monthly P&amp;L, cash and runway'!T5&lt;=6),'Monthly P&amp;L, cash and runway'!T5&lt;=6,IF('Monthly P&amp;L, cash and runway'!T5="","",'Monthly P&amp;L, cash and runway'!T5&lt;=6))="",FALSE,IF(ISERROR('Monthly P&amp;L, cash and runway'!T5&lt;=6),'Monthly P&amp;L, cash and runway'!T5&lt;=6,IF('Monthly P&amp;L, cash and runway'!T5="","",'Monthly P&amp;L, cash and runway'!T5&lt;=6))),'Model inputs'!B52+('Model inputs'!B55-'Model inputs'!B52)*('Monthly P&amp;L, cash and runway'!T5-3)/3,IF(IF(IF(ISERROR('Monthly P&amp;L, cash and runway'!T5&lt;=12),'Monthly P&amp;L, cash and runway'!T5&lt;=12,IF('Monthly P&amp;L, cash and runway'!T5="","",'Monthly P&amp;L, cash and runway'!T5&lt;=12))="",FALSE,IF(ISERROR('Monthly P&amp;L, cash and runway'!T5&lt;=12),'Monthly P&amp;L, cash and runway'!T5&lt;=12,IF('Monthly P&amp;L, cash and runway'!T5="","",'Monthly P&amp;L, cash and runway'!T5&lt;=12))),'Model inputs'!B55+('Model inputs'!B46-'Model inputs'!B55)*('Monthly P&amp;L, cash and runway'!T5-6)/6,'Model inputs'!B46+('Model inputs'!B49-'Model inputs'!B46)*('Monthly P&amp;L, cash and runway'!T5-12)/12))),0))</f>
        <v>30</v>
      </c>
      <c r="U7" s="9">
        <f>IF(IF(IF(ISERROR('Monthly P&amp;L, cash and runway'!U5&lt;1),'Monthly P&amp;L, cash and runway'!U5&lt;1,IF('Monthly P&amp;L, cash and runway'!U5="","",'Monthly P&amp;L, cash and runway'!U5&lt;1))="",FALSE,IF(ISERROR('Monthly P&amp;L, cash and runway'!U5&lt;1),'Monthly P&amp;L, cash and runway'!U5&lt;1,IF('Monthly P&amp;L, cash and runway'!U5="","",'Monthly P&amp;L, cash and runway'!U5&lt;1))),0,ROUND(IF(IF(IF(ISERROR('Monthly P&amp;L, cash and runway'!U5&lt;=3),'Monthly P&amp;L, cash and runway'!U5&lt;=3,IF('Monthly P&amp;L, cash and runway'!U5="","",'Monthly P&amp;L, cash and runway'!U5&lt;=3))="",FALSE,IF(ISERROR('Monthly P&amp;L, cash and runway'!U5&lt;=3),'Monthly P&amp;L, cash and runway'!U5&lt;=3,IF('Monthly P&amp;L, cash and runway'!U5="","",'Monthly P&amp;L, cash and runway'!U5&lt;=3))),IF('Model inputs'!B52="","",'Model inputs'!B52),IF(IF(IF(ISERROR('Monthly P&amp;L, cash and runway'!U5&lt;=6),'Monthly P&amp;L, cash and runway'!U5&lt;=6,IF('Monthly P&amp;L, cash and runway'!U5="","",'Monthly P&amp;L, cash and runway'!U5&lt;=6))="",FALSE,IF(ISERROR('Monthly P&amp;L, cash and runway'!U5&lt;=6),'Monthly P&amp;L, cash and runway'!U5&lt;=6,IF('Monthly P&amp;L, cash and runway'!U5="","",'Monthly P&amp;L, cash and runway'!U5&lt;=6))),'Model inputs'!B52+('Model inputs'!B55-'Model inputs'!B52)*('Monthly P&amp;L, cash and runway'!U5-3)/3,IF(IF(IF(ISERROR('Monthly P&amp;L, cash and runway'!U5&lt;=12),'Monthly P&amp;L, cash and runway'!U5&lt;=12,IF('Monthly P&amp;L, cash and runway'!U5="","",'Monthly P&amp;L, cash and runway'!U5&lt;=12))="",FALSE,IF(ISERROR('Monthly P&amp;L, cash and runway'!U5&lt;=12),'Monthly P&amp;L, cash and runway'!U5&lt;=12,IF('Monthly P&amp;L, cash and runway'!U5="","",'Monthly P&amp;L, cash and runway'!U5&lt;=12))),'Model inputs'!B55+('Model inputs'!B46-'Model inputs'!B55)*('Monthly P&amp;L, cash and runway'!U5-6)/6,'Model inputs'!B46+('Model inputs'!B49-'Model inputs'!B46)*('Monthly P&amp;L, cash and runway'!U5-12)/12))),0))</f>
        <v>32</v>
      </c>
      <c r="V7" s="9">
        <f>IF(IF(IF(ISERROR('Monthly P&amp;L, cash and runway'!V5&lt;1),'Monthly P&amp;L, cash and runway'!V5&lt;1,IF('Monthly P&amp;L, cash and runway'!V5="","",'Monthly P&amp;L, cash and runway'!V5&lt;1))="",FALSE,IF(ISERROR('Monthly P&amp;L, cash and runway'!V5&lt;1),'Monthly P&amp;L, cash and runway'!V5&lt;1,IF('Monthly P&amp;L, cash and runway'!V5="","",'Monthly P&amp;L, cash and runway'!V5&lt;1))),0,ROUND(IF(IF(IF(ISERROR('Monthly P&amp;L, cash and runway'!V5&lt;=3),'Monthly P&amp;L, cash and runway'!V5&lt;=3,IF('Monthly P&amp;L, cash and runway'!V5="","",'Monthly P&amp;L, cash and runway'!V5&lt;=3))="",FALSE,IF(ISERROR('Monthly P&amp;L, cash and runway'!V5&lt;=3),'Monthly P&amp;L, cash and runway'!V5&lt;=3,IF('Monthly P&amp;L, cash and runway'!V5="","",'Monthly P&amp;L, cash and runway'!V5&lt;=3))),IF('Model inputs'!B52="","",'Model inputs'!B52),IF(IF(IF(ISERROR('Monthly P&amp;L, cash and runway'!V5&lt;=6),'Monthly P&amp;L, cash and runway'!V5&lt;=6,IF('Monthly P&amp;L, cash and runway'!V5="","",'Monthly P&amp;L, cash and runway'!V5&lt;=6))="",FALSE,IF(ISERROR('Monthly P&amp;L, cash and runway'!V5&lt;=6),'Monthly P&amp;L, cash and runway'!V5&lt;=6,IF('Monthly P&amp;L, cash and runway'!V5="","",'Monthly P&amp;L, cash and runway'!V5&lt;=6))),'Model inputs'!B52+('Model inputs'!B55-'Model inputs'!B52)*('Monthly P&amp;L, cash and runway'!V5-3)/3,IF(IF(IF(ISERROR('Monthly P&amp;L, cash and runway'!V5&lt;=12),'Monthly P&amp;L, cash and runway'!V5&lt;=12,IF('Monthly P&amp;L, cash and runway'!V5="","",'Monthly P&amp;L, cash and runway'!V5&lt;=12))="",FALSE,IF(ISERROR('Monthly P&amp;L, cash and runway'!V5&lt;=12),'Monthly P&amp;L, cash and runway'!V5&lt;=12,IF('Monthly P&amp;L, cash and runway'!V5="","",'Monthly P&amp;L, cash and runway'!V5&lt;=12))),'Model inputs'!B55+('Model inputs'!B46-'Model inputs'!B55)*('Monthly P&amp;L, cash and runway'!V5-6)/6,'Model inputs'!B46+('Model inputs'!B49-'Model inputs'!B46)*('Monthly P&amp;L, cash and runway'!V5-12)/12))),0))</f>
        <v>34</v>
      </c>
      <c r="W7" s="9">
        <f>IF(IF(IF(ISERROR('Monthly P&amp;L, cash and runway'!W5&lt;1),'Monthly P&amp;L, cash and runway'!W5&lt;1,IF('Monthly P&amp;L, cash and runway'!W5="","",'Monthly P&amp;L, cash and runway'!W5&lt;1))="",FALSE,IF(ISERROR('Monthly P&amp;L, cash and runway'!W5&lt;1),'Monthly P&amp;L, cash and runway'!W5&lt;1,IF('Monthly P&amp;L, cash and runway'!W5="","",'Monthly P&amp;L, cash and runway'!W5&lt;1))),0,ROUND(IF(IF(IF(ISERROR('Monthly P&amp;L, cash and runway'!W5&lt;=3),'Monthly P&amp;L, cash and runway'!W5&lt;=3,IF('Monthly P&amp;L, cash and runway'!W5="","",'Monthly P&amp;L, cash and runway'!W5&lt;=3))="",FALSE,IF(ISERROR('Monthly P&amp;L, cash and runway'!W5&lt;=3),'Monthly P&amp;L, cash and runway'!W5&lt;=3,IF('Monthly P&amp;L, cash and runway'!W5="","",'Monthly P&amp;L, cash and runway'!W5&lt;=3))),IF('Model inputs'!B52="","",'Model inputs'!B52),IF(IF(IF(ISERROR('Monthly P&amp;L, cash and runway'!W5&lt;=6),'Monthly P&amp;L, cash and runway'!W5&lt;=6,IF('Monthly P&amp;L, cash and runway'!W5="","",'Monthly P&amp;L, cash and runway'!W5&lt;=6))="",FALSE,IF(ISERROR('Monthly P&amp;L, cash and runway'!W5&lt;=6),'Monthly P&amp;L, cash and runway'!W5&lt;=6,IF('Monthly P&amp;L, cash and runway'!W5="","",'Monthly P&amp;L, cash and runway'!W5&lt;=6))),'Model inputs'!B52+('Model inputs'!B55-'Model inputs'!B52)*('Monthly P&amp;L, cash and runway'!W5-3)/3,IF(IF(IF(ISERROR('Monthly P&amp;L, cash and runway'!W5&lt;=12),'Monthly P&amp;L, cash and runway'!W5&lt;=12,IF('Monthly P&amp;L, cash and runway'!W5="","",'Monthly P&amp;L, cash and runway'!W5&lt;=12))="",FALSE,IF(ISERROR('Monthly P&amp;L, cash and runway'!W5&lt;=12),'Monthly P&amp;L, cash and runway'!W5&lt;=12,IF('Monthly P&amp;L, cash and runway'!W5="","",'Monthly P&amp;L, cash and runway'!W5&lt;=12))),'Model inputs'!B55+('Model inputs'!B46-'Model inputs'!B55)*('Monthly P&amp;L, cash and runway'!W5-6)/6,'Model inputs'!B46+('Model inputs'!B49-'Model inputs'!B46)*('Monthly P&amp;L, cash and runway'!W5-12)/12))),0))</f>
        <v>36</v>
      </c>
      <c r="X7" s="9">
        <f>IF(IF(IF(ISERROR('Monthly P&amp;L, cash and runway'!X5&lt;1),'Monthly P&amp;L, cash and runway'!X5&lt;1,IF('Monthly P&amp;L, cash and runway'!X5="","",'Monthly P&amp;L, cash and runway'!X5&lt;1))="",FALSE,IF(ISERROR('Monthly P&amp;L, cash and runway'!X5&lt;1),'Monthly P&amp;L, cash and runway'!X5&lt;1,IF('Monthly P&amp;L, cash and runway'!X5="","",'Monthly P&amp;L, cash and runway'!X5&lt;1))),0,ROUND(IF(IF(IF(ISERROR('Monthly P&amp;L, cash and runway'!X5&lt;=3),'Monthly P&amp;L, cash and runway'!X5&lt;=3,IF('Monthly P&amp;L, cash and runway'!X5="","",'Monthly P&amp;L, cash and runway'!X5&lt;=3))="",FALSE,IF(ISERROR('Monthly P&amp;L, cash and runway'!X5&lt;=3),'Monthly P&amp;L, cash and runway'!X5&lt;=3,IF('Monthly P&amp;L, cash and runway'!X5="","",'Monthly P&amp;L, cash and runway'!X5&lt;=3))),IF('Model inputs'!B52="","",'Model inputs'!B52),IF(IF(IF(ISERROR('Monthly P&amp;L, cash and runway'!X5&lt;=6),'Monthly P&amp;L, cash and runway'!X5&lt;=6,IF('Monthly P&amp;L, cash and runway'!X5="","",'Monthly P&amp;L, cash and runway'!X5&lt;=6))="",FALSE,IF(ISERROR('Monthly P&amp;L, cash and runway'!X5&lt;=6),'Monthly P&amp;L, cash and runway'!X5&lt;=6,IF('Monthly P&amp;L, cash and runway'!X5="","",'Monthly P&amp;L, cash and runway'!X5&lt;=6))),'Model inputs'!B52+('Model inputs'!B55-'Model inputs'!B52)*('Monthly P&amp;L, cash and runway'!X5-3)/3,IF(IF(IF(ISERROR('Monthly P&amp;L, cash and runway'!X5&lt;=12),'Monthly P&amp;L, cash and runway'!X5&lt;=12,IF('Monthly P&amp;L, cash and runway'!X5="","",'Monthly P&amp;L, cash and runway'!X5&lt;=12))="",FALSE,IF(ISERROR('Monthly P&amp;L, cash and runway'!X5&lt;=12),'Monthly P&amp;L, cash and runway'!X5&lt;=12,IF('Monthly P&amp;L, cash and runway'!X5="","",'Monthly P&amp;L, cash and runway'!X5&lt;=12))),'Model inputs'!B55+('Model inputs'!B46-'Model inputs'!B55)*('Monthly P&amp;L, cash and runway'!X5-6)/6,'Model inputs'!B46+('Model inputs'!B49-'Model inputs'!B46)*('Monthly P&amp;L, cash and runway'!X5-12)/12))),0))</f>
        <v>38</v>
      </c>
      <c r="Y7" s="9">
        <f>IF(IF(IF(ISERROR('Monthly P&amp;L, cash and runway'!Y5&lt;1),'Monthly P&amp;L, cash and runway'!Y5&lt;1,IF('Monthly P&amp;L, cash and runway'!Y5="","",'Monthly P&amp;L, cash and runway'!Y5&lt;1))="",FALSE,IF(ISERROR('Monthly P&amp;L, cash and runway'!Y5&lt;1),'Monthly P&amp;L, cash and runway'!Y5&lt;1,IF('Monthly P&amp;L, cash and runway'!Y5="","",'Monthly P&amp;L, cash and runway'!Y5&lt;1))),0,ROUND(IF(IF(IF(ISERROR('Monthly P&amp;L, cash and runway'!Y5&lt;=3),'Monthly P&amp;L, cash and runway'!Y5&lt;=3,IF('Monthly P&amp;L, cash and runway'!Y5="","",'Monthly P&amp;L, cash and runway'!Y5&lt;=3))="",FALSE,IF(ISERROR('Monthly P&amp;L, cash and runway'!Y5&lt;=3),'Monthly P&amp;L, cash and runway'!Y5&lt;=3,IF('Monthly P&amp;L, cash and runway'!Y5="","",'Monthly P&amp;L, cash and runway'!Y5&lt;=3))),IF('Model inputs'!B52="","",'Model inputs'!B52),IF(IF(IF(ISERROR('Monthly P&amp;L, cash and runway'!Y5&lt;=6),'Monthly P&amp;L, cash and runway'!Y5&lt;=6,IF('Monthly P&amp;L, cash and runway'!Y5="","",'Monthly P&amp;L, cash and runway'!Y5&lt;=6))="",FALSE,IF(ISERROR('Monthly P&amp;L, cash and runway'!Y5&lt;=6),'Monthly P&amp;L, cash and runway'!Y5&lt;=6,IF('Monthly P&amp;L, cash and runway'!Y5="","",'Monthly P&amp;L, cash and runway'!Y5&lt;=6))),'Model inputs'!B52+('Model inputs'!B55-'Model inputs'!B52)*('Monthly P&amp;L, cash and runway'!Y5-3)/3,IF(IF(IF(ISERROR('Monthly P&amp;L, cash and runway'!Y5&lt;=12),'Monthly P&amp;L, cash and runway'!Y5&lt;=12,IF('Monthly P&amp;L, cash and runway'!Y5="","",'Monthly P&amp;L, cash and runway'!Y5&lt;=12))="",FALSE,IF(ISERROR('Monthly P&amp;L, cash and runway'!Y5&lt;=12),'Monthly P&amp;L, cash and runway'!Y5&lt;=12,IF('Monthly P&amp;L, cash and runway'!Y5="","",'Monthly P&amp;L, cash and runway'!Y5&lt;=12))),'Model inputs'!B55+('Model inputs'!B46-'Model inputs'!B55)*('Monthly P&amp;L, cash and runway'!Y5-6)/6,'Model inputs'!B46+('Model inputs'!B49-'Model inputs'!B46)*('Monthly P&amp;L, cash and runway'!Y5-12)/12))),0))</f>
        <v>40</v>
      </c>
    </row>
    <row r="8" outlineLevel="1">
      <c r="A8" t="inlineStr" s="8">
        <is>
          <t xml:space="preserve">Team</t>
        </is>
      </c>
      <c r="B8" s="9">
        <f>IF(IF(IF(ISERROR('Monthly P&amp;L, cash and runway'!B5&lt;1),'Monthly P&amp;L, cash and runway'!B5&lt;1,IF('Monthly P&amp;L, cash and runway'!B5="","",'Monthly P&amp;L, cash and runway'!B5&lt;1))="",FALSE,IF(ISERROR('Monthly P&amp;L, cash and runway'!B5&lt;1),'Monthly P&amp;L, cash and runway'!B5&lt;1,IF('Monthly P&amp;L, cash and runway'!B5="","",'Monthly P&amp;L, cash and runway'!B5&lt;1))),0,ROUND(IF(IF(IF(ISERROR('Monthly P&amp;L, cash and runway'!B5&lt;=3),'Monthly P&amp;L, cash and runway'!B5&lt;=3,IF('Monthly P&amp;L, cash and runway'!B5="","",'Monthly P&amp;L, cash and runway'!B5&lt;=3))="",FALSE,IF(ISERROR('Monthly P&amp;L, cash and runway'!B5&lt;=3),'Monthly P&amp;L, cash and runway'!B5&lt;=3,IF('Monthly P&amp;L, cash and runway'!B5="","",'Monthly P&amp;L, cash and runway'!B5&lt;=3))),IF('Model inputs'!B53="","",'Model inputs'!B53),IF(IF(IF(ISERROR('Monthly P&amp;L, cash and runway'!B5&lt;=6),'Monthly P&amp;L, cash and runway'!B5&lt;=6,IF('Monthly P&amp;L, cash and runway'!B5="","",'Monthly P&amp;L, cash and runway'!B5&lt;=6))="",FALSE,IF(ISERROR('Monthly P&amp;L, cash and runway'!B5&lt;=6),'Monthly P&amp;L, cash and runway'!B5&lt;=6,IF('Monthly P&amp;L, cash and runway'!B5="","",'Monthly P&amp;L, cash and runway'!B5&lt;=6))),'Model inputs'!B53+('Model inputs'!B56-'Model inputs'!B53)*('Monthly P&amp;L, cash and runway'!B5-3)/3,IF(IF(IF(ISERROR('Monthly P&amp;L, cash and runway'!B5&lt;=12),'Monthly P&amp;L, cash and runway'!B5&lt;=12,IF('Monthly P&amp;L, cash and runway'!B5="","",'Monthly P&amp;L, cash and runway'!B5&lt;=12))="",FALSE,IF(ISERROR('Monthly P&amp;L, cash and runway'!B5&lt;=12),'Monthly P&amp;L, cash and runway'!B5&lt;=12,IF('Monthly P&amp;L, cash and runway'!B5="","",'Monthly P&amp;L, cash and runway'!B5&lt;=12))),'Model inputs'!B56+('Model inputs'!B47-'Model inputs'!B56)*('Monthly P&amp;L, cash and runway'!B5-6)/6,'Model inputs'!B47+('Model inputs'!B50-'Model inputs'!B47)*('Monthly P&amp;L, cash and runway'!B5-12)/12))),0))</f>
        <v>0</v>
      </c>
      <c r="C8" s="9">
        <f>IF(IF(IF(ISERROR('Monthly P&amp;L, cash and runway'!C5&lt;1),'Monthly P&amp;L, cash and runway'!C5&lt;1,IF('Monthly P&amp;L, cash and runway'!C5="","",'Monthly P&amp;L, cash and runway'!C5&lt;1))="",FALSE,IF(ISERROR('Monthly P&amp;L, cash and runway'!C5&lt;1),'Monthly P&amp;L, cash and runway'!C5&lt;1,IF('Monthly P&amp;L, cash and runway'!C5="","",'Monthly P&amp;L, cash and runway'!C5&lt;1))),0,ROUND(IF(IF(IF(ISERROR('Monthly P&amp;L, cash and runway'!C5&lt;=3),'Monthly P&amp;L, cash and runway'!C5&lt;=3,IF('Monthly P&amp;L, cash and runway'!C5="","",'Monthly P&amp;L, cash and runway'!C5&lt;=3))="",FALSE,IF(ISERROR('Monthly P&amp;L, cash and runway'!C5&lt;=3),'Monthly P&amp;L, cash and runway'!C5&lt;=3,IF('Monthly P&amp;L, cash and runway'!C5="","",'Monthly P&amp;L, cash and runway'!C5&lt;=3))),IF('Model inputs'!B53="","",'Model inputs'!B53),IF(IF(IF(ISERROR('Monthly P&amp;L, cash and runway'!C5&lt;=6),'Monthly P&amp;L, cash and runway'!C5&lt;=6,IF('Monthly P&amp;L, cash and runway'!C5="","",'Monthly P&amp;L, cash and runway'!C5&lt;=6))="",FALSE,IF(ISERROR('Monthly P&amp;L, cash and runway'!C5&lt;=6),'Monthly P&amp;L, cash and runway'!C5&lt;=6,IF('Monthly P&amp;L, cash and runway'!C5="","",'Monthly P&amp;L, cash and runway'!C5&lt;=6))),'Model inputs'!B53+('Model inputs'!B56-'Model inputs'!B53)*('Monthly P&amp;L, cash and runway'!C5-3)/3,IF(IF(IF(ISERROR('Monthly P&amp;L, cash and runway'!C5&lt;=12),'Monthly P&amp;L, cash and runway'!C5&lt;=12,IF('Monthly P&amp;L, cash and runway'!C5="","",'Monthly P&amp;L, cash and runway'!C5&lt;=12))="",FALSE,IF(ISERROR('Monthly P&amp;L, cash and runway'!C5&lt;=12),'Monthly P&amp;L, cash and runway'!C5&lt;=12,IF('Monthly P&amp;L, cash and runway'!C5="","",'Monthly P&amp;L, cash and runway'!C5&lt;=12))),'Model inputs'!B56+('Model inputs'!B47-'Model inputs'!B56)*('Monthly P&amp;L, cash and runway'!C5-6)/6,'Model inputs'!B47+('Model inputs'!B50-'Model inputs'!B47)*('Monthly P&amp;L, cash and runway'!C5-12)/12))),0))</f>
        <v>0</v>
      </c>
      <c r="D8" s="9">
        <f>IF(IF(IF(ISERROR('Monthly P&amp;L, cash and runway'!D5&lt;1),'Monthly P&amp;L, cash and runway'!D5&lt;1,IF('Monthly P&amp;L, cash and runway'!D5="","",'Monthly P&amp;L, cash and runway'!D5&lt;1))="",FALSE,IF(ISERROR('Monthly P&amp;L, cash and runway'!D5&lt;1),'Monthly P&amp;L, cash and runway'!D5&lt;1,IF('Monthly P&amp;L, cash and runway'!D5="","",'Monthly P&amp;L, cash and runway'!D5&lt;1))),0,ROUND(IF(IF(IF(ISERROR('Monthly P&amp;L, cash and runway'!D5&lt;=3),'Monthly P&amp;L, cash and runway'!D5&lt;=3,IF('Monthly P&amp;L, cash and runway'!D5="","",'Monthly P&amp;L, cash and runway'!D5&lt;=3))="",FALSE,IF(ISERROR('Monthly P&amp;L, cash and runway'!D5&lt;=3),'Monthly P&amp;L, cash and runway'!D5&lt;=3,IF('Monthly P&amp;L, cash and runway'!D5="","",'Monthly P&amp;L, cash and runway'!D5&lt;=3))),IF('Model inputs'!B53="","",'Model inputs'!B53),IF(IF(IF(ISERROR('Monthly P&amp;L, cash and runway'!D5&lt;=6),'Monthly P&amp;L, cash and runway'!D5&lt;=6,IF('Monthly P&amp;L, cash and runway'!D5="","",'Monthly P&amp;L, cash and runway'!D5&lt;=6))="",FALSE,IF(ISERROR('Monthly P&amp;L, cash and runway'!D5&lt;=6),'Monthly P&amp;L, cash and runway'!D5&lt;=6,IF('Monthly P&amp;L, cash and runway'!D5="","",'Monthly P&amp;L, cash and runway'!D5&lt;=6))),'Model inputs'!B53+('Model inputs'!B56-'Model inputs'!B53)*('Monthly P&amp;L, cash and runway'!D5-3)/3,IF(IF(IF(ISERROR('Monthly P&amp;L, cash and runway'!D5&lt;=12),'Monthly P&amp;L, cash and runway'!D5&lt;=12,IF('Monthly P&amp;L, cash and runway'!D5="","",'Monthly P&amp;L, cash and runway'!D5&lt;=12))="",FALSE,IF(ISERROR('Monthly P&amp;L, cash and runway'!D5&lt;=12),'Monthly P&amp;L, cash and runway'!D5&lt;=12,IF('Monthly P&amp;L, cash and runway'!D5="","",'Monthly P&amp;L, cash and runway'!D5&lt;=12))),'Model inputs'!B56+('Model inputs'!B47-'Model inputs'!B56)*('Monthly P&amp;L, cash and runway'!D5-6)/6,'Model inputs'!B47+('Model inputs'!B50-'Model inputs'!B47)*('Monthly P&amp;L, cash and runway'!D5-12)/12))),0))</f>
        <v>0</v>
      </c>
      <c r="E8" s="9">
        <f>IF(IF(IF(ISERROR('Monthly P&amp;L, cash and runway'!E5&lt;1),'Monthly P&amp;L, cash and runway'!E5&lt;1,IF('Monthly P&amp;L, cash and runway'!E5="","",'Monthly P&amp;L, cash and runway'!E5&lt;1))="",FALSE,IF(ISERROR('Monthly P&amp;L, cash and runway'!E5&lt;1),'Monthly P&amp;L, cash and runway'!E5&lt;1,IF('Monthly P&amp;L, cash and runway'!E5="","",'Monthly P&amp;L, cash and runway'!E5&lt;1))),0,ROUND(IF(IF(IF(ISERROR('Monthly P&amp;L, cash and runway'!E5&lt;=3),'Monthly P&amp;L, cash and runway'!E5&lt;=3,IF('Monthly P&amp;L, cash and runway'!E5="","",'Monthly P&amp;L, cash and runway'!E5&lt;=3))="",FALSE,IF(ISERROR('Monthly P&amp;L, cash and runway'!E5&lt;=3),'Monthly P&amp;L, cash and runway'!E5&lt;=3,IF('Monthly P&amp;L, cash and runway'!E5="","",'Monthly P&amp;L, cash and runway'!E5&lt;=3))),IF('Model inputs'!B53="","",'Model inputs'!B53),IF(IF(IF(ISERROR('Monthly P&amp;L, cash and runway'!E5&lt;=6),'Monthly P&amp;L, cash and runway'!E5&lt;=6,IF('Monthly P&amp;L, cash and runway'!E5="","",'Monthly P&amp;L, cash and runway'!E5&lt;=6))="",FALSE,IF(ISERROR('Monthly P&amp;L, cash and runway'!E5&lt;=6),'Monthly P&amp;L, cash and runway'!E5&lt;=6,IF('Monthly P&amp;L, cash and runway'!E5="","",'Monthly P&amp;L, cash and runway'!E5&lt;=6))),'Model inputs'!B53+('Model inputs'!B56-'Model inputs'!B53)*('Monthly P&amp;L, cash and runway'!E5-3)/3,IF(IF(IF(ISERROR('Monthly P&amp;L, cash and runway'!E5&lt;=12),'Monthly P&amp;L, cash and runway'!E5&lt;=12,IF('Monthly P&amp;L, cash and runway'!E5="","",'Monthly P&amp;L, cash and runway'!E5&lt;=12))="",FALSE,IF(ISERROR('Monthly P&amp;L, cash and runway'!E5&lt;=12),'Monthly P&amp;L, cash and runway'!E5&lt;=12,IF('Monthly P&amp;L, cash and runway'!E5="","",'Monthly P&amp;L, cash and runway'!E5&lt;=12))),'Model inputs'!B56+('Model inputs'!B47-'Model inputs'!B56)*('Monthly P&amp;L, cash and runway'!E5-6)/6,'Model inputs'!B47+('Model inputs'!B50-'Model inputs'!B47)*('Monthly P&amp;L, cash and runway'!E5-12)/12))),0))</f>
        <v>0</v>
      </c>
      <c r="F8" s="9">
        <f>IF(IF(IF(ISERROR('Monthly P&amp;L, cash and runway'!F5&lt;1),'Monthly P&amp;L, cash and runway'!F5&lt;1,IF('Monthly P&amp;L, cash and runway'!F5="","",'Monthly P&amp;L, cash and runway'!F5&lt;1))="",FALSE,IF(ISERROR('Monthly P&amp;L, cash and runway'!F5&lt;1),'Monthly P&amp;L, cash and runway'!F5&lt;1,IF('Monthly P&amp;L, cash and runway'!F5="","",'Monthly P&amp;L, cash and runway'!F5&lt;1))),0,ROUND(IF(IF(IF(ISERROR('Monthly P&amp;L, cash and runway'!F5&lt;=3),'Monthly P&amp;L, cash and runway'!F5&lt;=3,IF('Monthly P&amp;L, cash and runway'!F5="","",'Monthly P&amp;L, cash and runway'!F5&lt;=3))="",FALSE,IF(ISERROR('Monthly P&amp;L, cash and runway'!F5&lt;=3),'Monthly P&amp;L, cash and runway'!F5&lt;=3,IF('Monthly P&amp;L, cash and runway'!F5="","",'Monthly P&amp;L, cash and runway'!F5&lt;=3))),IF('Model inputs'!B53="","",'Model inputs'!B53),IF(IF(IF(ISERROR('Monthly P&amp;L, cash and runway'!F5&lt;=6),'Monthly P&amp;L, cash and runway'!F5&lt;=6,IF('Monthly P&amp;L, cash and runway'!F5="","",'Monthly P&amp;L, cash and runway'!F5&lt;=6))="",FALSE,IF(ISERROR('Monthly P&amp;L, cash and runway'!F5&lt;=6),'Monthly P&amp;L, cash and runway'!F5&lt;=6,IF('Monthly P&amp;L, cash and runway'!F5="","",'Monthly P&amp;L, cash and runway'!F5&lt;=6))),'Model inputs'!B53+('Model inputs'!B56-'Model inputs'!B53)*('Monthly P&amp;L, cash and runway'!F5-3)/3,IF(IF(IF(ISERROR('Monthly P&amp;L, cash and runway'!F5&lt;=12),'Monthly P&amp;L, cash and runway'!F5&lt;=12,IF('Monthly P&amp;L, cash and runway'!F5="","",'Monthly P&amp;L, cash and runway'!F5&lt;=12))="",FALSE,IF(ISERROR('Monthly P&amp;L, cash and runway'!F5&lt;=12),'Monthly P&amp;L, cash and runway'!F5&lt;=12,IF('Monthly P&amp;L, cash and runway'!F5="","",'Monthly P&amp;L, cash and runway'!F5&lt;=12))),'Model inputs'!B56+('Model inputs'!B47-'Model inputs'!B56)*('Monthly P&amp;L, cash and runway'!F5-6)/6,'Model inputs'!B47+('Model inputs'!B50-'Model inputs'!B47)*('Monthly P&amp;L, cash and runway'!F5-12)/12))),0))</f>
        <v>1</v>
      </c>
      <c r="G8" s="9">
        <f>IF(IF(IF(ISERROR('Monthly P&amp;L, cash and runway'!G5&lt;1),'Monthly P&amp;L, cash and runway'!G5&lt;1,IF('Monthly P&amp;L, cash and runway'!G5="","",'Monthly P&amp;L, cash and runway'!G5&lt;1))="",FALSE,IF(ISERROR('Monthly P&amp;L, cash and runway'!G5&lt;1),'Monthly P&amp;L, cash and runway'!G5&lt;1,IF('Monthly P&amp;L, cash and runway'!G5="","",'Monthly P&amp;L, cash and runway'!G5&lt;1))),0,ROUND(IF(IF(IF(ISERROR('Monthly P&amp;L, cash and runway'!G5&lt;=3),'Monthly P&amp;L, cash and runway'!G5&lt;=3,IF('Monthly P&amp;L, cash and runway'!G5="","",'Monthly P&amp;L, cash and runway'!G5&lt;=3))="",FALSE,IF(ISERROR('Monthly P&amp;L, cash and runway'!G5&lt;=3),'Monthly P&amp;L, cash and runway'!G5&lt;=3,IF('Monthly P&amp;L, cash and runway'!G5="","",'Monthly P&amp;L, cash and runway'!G5&lt;=3))),IF('Model inputs'!B53="","",'Model inputs'!B53),IF(IF(IF(ISERROR('Monthly P&amp;L, cash and runway'!G5&lt;=6),'Monthly P&amp;L, cash and runway'!G5&lt;=6,IF('Monthly P&amp;L, cash and runway'!G5="","",'Monthly P&amp;L, cash and runway'!G5&lt;=6))="",FALSE,IF(ISERROR('Monthly P&amp;L, cash and runway'!G5&lt;=6),'Monthly P&amp;L, cash and runway'!G5&lt;=6,IF('Monthly P&amp;L, cash and runway'!G5="","",'Monthly P&amp;L, cash and runway'!G5&lt;=6))),'Model inputs'!B53+('Model inputs'!B56-'Model inputs'!B53)*('Monthly P&amp;L, cash and runway'!G5-3)/3,IF(IF(IF(ISERROR('Monthly P&amp;L, cash and runway'!G5&lt;=12),'Monthly P&amp;L, cash and runway'!G5&lt;=12,IF('Monthly P&amp;L, cash and runway'!G5="","",'Monthly P&amp;L, cash and runway'!G5&lt;=12))="",FALSE,IF(ISERROR('Monthly P&amp;L, cash and runway'!G5&lt;=12),'Monthly P&amp;L, cash and runway'!G5&lt;=12,IF('Monthly P&amp;L, cash and runway'!G5="","",'Monthly P&amp;L, cash and runway'!G5&lt;=12))),'Model inputs'!B56+('Model inputs'!B47-'Model inputs'!B56)*('Monthly P&amp;L, cash and runway'!G5-6)/6,'Model inputs'!B47+('Model inputs'!B50-'Model inputs'!B47)*('Monthly P&amp;L, cash and runway'!G5-12)/12))),0))</f>
        <v>1</v>
      </c>
      <c r="H8" s="9">
        <f>IF(IF(IF(ISERROR('Monthly P&amp;L, cash and runway'!H5&lt;1),'Monthly P&amp;L, cash and runway'!H5&lt;1,IF('Monthly P&amp;L, cash and runway'!H5="","",'Monthly P&amp;L, cash and runway'!H5&lt;1))="",FALSE,IF(ISERROR('Monthly P&amp;L, cash and runway'!H5&lt;1),'Monthly P&amp;L, cash and runway'!H5&lt;1,IF('Monthly P&amp;L, cash and runway'!H5="","",'Monthly P&amp;L, cash and runway'!H5&lt;1))),0,ROUND(IF(IF(IF(ISERROR('Monthly P&amp;L, cash and runway'!H5&lt;=3),'Monthly P&amp;L, cash and runway'!H5&lt;=3,IF('Monthly P&amp;L, cash and runway'!H5="","",'Monthly P&amp;L, cash and runway'!H5&lt;=3))="",FALSE,IF(ISERROR('Monthly P&amp;L, cash and runway'!H5&lt;=3),'Monthly P&amp;L, cash and runway'!H5&lt;=3,IF('Monthly P&amp;L, cash and runway'!H5="","",'Monthly P&amp;L, cash and runway'!H5&lt;=3))),IF('Model inputs'!B53="","",'Model inputs'!B53),IF(IF(IF(ISERROR('Monthly P&amp;L, cash and runway'!H5&lt;=6),'Monthly P&amp;L, cash and runway'!H5&lt;=6,IF('Monthly P&amp;L, cash and runway'!H5="","",'Monthly P&amp;L, cash and runway'!H5&lt;=6))="",FALSE,IF(ISERROR('Monthly P&amp;L, cash and runway'!H5&lt;=6),'Monthly P&amp;L, cash and runway'!H5&lt;=6,IF('Monthly P&amp;L, cash and runway'!H5="","",'Monthly P&amp;L, cash and runway'!H5&lt;=6))),'Model inputs'!B53+('Model inputs'!B56-'Model inputs'!B53)*('Monthly P&amp;L, cash and runway'!H5-3)/3,IF(IF(IF(ISERROR('Monthly P&amp;L, cash and runway'!H5&lt;=12),'Monthly P&amp;L, cash and runway'!H5&lt;=12,IF('Monthly P&amp;L, cash and runway'!H5="","",'Monthly P&amp;L, cash and runway'!H5&lt;=12))="",FALSE,IF(ISERROR('Monthly P&amp;L, cash and runway'!H5&lt;=12),'Monthly P&amp;L, cash and runway'!H5&lt;=12,IF('Monthly P&amp;L, cash and runway'!H5="","",'Monthly P&amp;L, cash and runway'!H5&lt;=12))),'Model inputs'!B56+('Model inputs'!B47-'Model inputs'!B56)*('Monthly P&amp;L, cash and runway'!H5-6)/6,'Model inputs'!B47+('Model inputs'!B50-'Model inputs'!B47)*('Monthly P&amp;L, cash and runway'!H5-12)/12))),0))</f>
        <v>1</v>
      </c>
      <c r="I8" s="9">
        <f>IF(IF(IF(ISERROR('Monthly P&amp;L, cash and runway'!I5&lt;1),'Monthly P&amp;L, cash and runway'!I5&lt;1,IF('Monthly P&amp;L, cash and runway'!I5="","",'Monthly P&amp;L, cash and runway'!I5&lt;1))="",FALSE,IF(ISERROR('Monthly P&amp;L, cash and runway'!I5&lt;1),'Monthly P&amp;L, cash and runway'!I5&lt;1,IF('Monthly P&amp;L, cash and runway'!I5="","",'Monthly P&amp;L, cash and runway'!I5&lt;1))),0,ROUND(IF(IF(IF(ISERROR('Monthly P&amp;L, cash and runway'!I5&lt;=3),'Monthly P&amp;L, cash and runway'!I5&lt;=3,IF('Monthly P&amp;L, cash and runway'!I5="","",'Monthly P&amp;L, cash and runway'!I5&lt;=3))="",FALSE,IF(ISERROR('Monthly P&amp;L, cash and runway'!I5&lt;=3),'Monthly P&amp;L, cash and runway'!I5&lt;=3,IF('Monthly P&amp;L, cash and runway'!I5="","",'Monthly P&amp;L, cash and runway'!I5&lt;=3))),IF('Model inputs'!B53="","",'Model inputs'!B53),IF(IF(IF(ISERROR('Monthly P&amp;L, cash and runway'!I5&lt;=6),'Monthly P&amp;L, cash and runway'!I5&lt;=6,IF('Monthly P&amp;L, cash and runway'!I5="","",'Monthly P&amp;L, cash and runway'!I5&lt;=6))="",FALSE,IF(ISERROR('Monthly P&amp;L, cash and runway'!I5&lt;=6),'Monthly P&amp;L, cash and runway'!I5&lt;=6,IF('Monthly P&amp;L, cash and runway'!I5="","",'Monthly P&amp;L, cash and runway'!I5&lt;=6))),'Model inputs'!B53+('Model inputs'!B56-'Model inputs'!B53)*('Monthly P&amp;L, cash and runway'!I5-3)/3,IF(IF(IF(ISERROR('Monthly P&amp;L, cash and runway'!I5&lt;=12),'Monthly P&amp;L, cash and runway'!I5&lt;=12,IF('Monthly P&amp;L, cash and runway'!I5="","",'Monthly P&amp;L, cash and runway'!I5&lt;=12))="",FALSE,IF(ISERROR('Monthly P&amp;L, cash and runway'!I5&lt;=12),'Monthly P&amp;L, cash and runway'!I5&lt;=12,IF('Monthly P&amp;L, cash and runway'!I5="","",'Monthly P&amp;L, cash and runway'!I5&lt;=12))),'Model inputs'!B56+('Model inputs'!B47-'Model inputs'!B56)*('Monthly P&amp;L, cash and runway'!I5-6)/6,'Model inputs'!B47+('Model inputs'!B50-'Model inputs'!B47)*('Monthly P&amp;L, cash and runway'!I5-12)/12))),0))</f>
        <v>2</v>
      </c>
      <c r="J8" s="9">
        <f>IF(IF(IF(ISERROR('Monthly P&amp;L, cash and runway'!J5&lt;1),'Monthly P&amp;L, cash and runway'!J5&lt;1,IF('Monthly P&amp;L, cash and runway'!J5="","",'Monthly P&amp;L, cash and runway'!J5&lt;1))="",FALSE,IF(ISERROR('Monthly P&amp;L, cash and runway'!J5&lt;1),'Monthly P&amp;L, cash and runway'!J5&lt;1,IF('Monthly P&amp;L, cash and runway'!J5="","",'Monthly P&amp;L, cash and runway'!J5&lt;1))),0,ROUND(IF(IF(IF(ISERROR('Monthly P&amp;L, cash and runway'!J5&lt;=3),'Monthly P&amp;L, cash and runway'!J5&lt;=3,IF('Monthly P&amp;L, cash and runway'!J5="","",'Monthly P&amp;L, cash and runway'!J5&lt;=3))="",FALSE,IF(ISERROR('Monthly P&amp;L, cash and runway'!J5&lt;=3),'Monthly P&amp;L, cash and runway'!J5&lt;=3,IF('Monthly P&amp;L, cash and runway'!J5="","",'Monthly P&amp;L, cash and runway'!J5&lt;=3))),IF('Model inputs'!B53="","",'Model inputs'!B53),IF(IF(IF(ISERROR('Monthly P&amp;L, cash and runway'!J5&lt;=6),'Monthly P&amp;L, cash and runway'!J5&lt;=6,IF('Monthly P&amp;L, cash and runway'!J5="","",'Monthly P&amp;L, cash and runway'!J5&lt;=6))="",FALSE,IF(ISERROR('Monthly P&amp;L, cash and runway'!J5&lt;=6),'Monthly P&amp;L, cash and runway'!J5&lt;=6,IF('Monthly P&amp;L, cash and runway'!J5="","",'Monthly P&amp;L, cash and runway'!J5&lt;=6))),'Model inputs'!B53+('Model inputs'!B56-'Model inputs'!B53)*('Monthly P&amp;L, cash and runway'!J5-3)/3,IF(IF(IF(ISERROR('Monthly P&amp;L, cash and runway'!J5&lt;=12),'Monthly P&amp;L, cash and runway'!J5&lt;=12,IF('Monthly P&amp;L, cash and runway'!J5="","",'Monthly P&amp;L, cash and runway'!J5&lt;=12))="",FALSE,IF(ISERROR('Monthly P&amp;L, cash and runway'!J5&lt;=12),'Monthly P&amp;L, cash and runway'!J5&lt;=12,IF('Monthly P&amp;L, cash and runway'!J5="","",'Monthly P&amp;L, cash and runway'!J5&lt;=12))),'Model inputs'!B56+('Model inputs'!B47-'Model inputs'!B56)*('Monthly P&amp;L, cash and runway'!J5-6)/6,'Model inputs'!B47+('Model inputs'!B50-'Model inputs'!B47)*('Monthly P&amp;L, cash and runway'!J5-12)/12))),0))</f>
        <v>2</v>
      </c>
      <c r="K8" s="9">
        <f>IF(IF(IF(ISERROR('Monthly P&amp;L, cash and runway'!K5&lt;1),'Monthly P&amp;L, cash and runway'!K5&lt;1,IF('Monthly P&amp;L, cash and runway'!K5="","",'Monthly P&amp;L, cash and runway'!K5&lt;1))="",FALSE,IF(ISERROR('Monthly P&amp;L, cash and runway'!K5&lt;1),'Monthly P&amp;L, cash and runway'!K5&lt;1,IF('Monthly P&amp;L, cash and runway'!K5="","",'Monthly P&amp;L, cash and runway'!K5&lt;1))),0,ROUND(IF(IF(IF(ISERROR('Monthly P&amp;L, cash and runway'!K5&lt;=3),'Monthly P&amp;L, cash and runway'!K5&lt;=3,IF('Monthly P&amp;L, cash and runway'!K5="","",'Monthly P&amp;L, cash and runway'!K5&lt;=3))="",FALSE,IF(ISERROR('Monthly P&amp;L, cash and runway'!K5&lt;=3),'Monthly P&amp;L, cash and runway'!K5&lt;=3,IF('Monthly P&amp;L, cash and runway'!K5="","",'Monthly P&amp;L, cash and runway'!K5&lt;=3))),IF('Model inputs'!B53="","",'Model inputs'!B53),IF(IF(IF(ISERROR('Monthly P&amp;L, cash and runway'!K5&lt;=6),'Monthly P&amp;L, cash and runway'!K5&lt;=6,IF('Monthly P&amp;L, cash and runway'!K5="","",'Monthly P&amp;L, cash and runway'!K5&lt;=6))="",FALSE,IF(ISERROR('Monthly P&amp;L, cash and runway'!K5&lt;=6),'Monthly P&amp;L, cash and runway'!K5&lt;=6,IF('Monthly P&amp;L, cash and runway'!K5="","",'Monthly P&amp;L, cash and runway'!K5&lt;=6))),'Model inputs'!B53+('Model inputs'!B56-'Model inputs'!B53)*('Monthly P&amp;L, cash and runway'!K5-3)/3,IF(IF(IF(ISERROR('Monthly P&amp;L, cash and runway'!K5&lt;=12),'Monthly P&amp;L, cash and runway'!K5&lt;=12,IF('Monthly P&amp;L, cash and runway'!K5="","",'Monthly P&amp;L, cash and runway'!K5&lt;=12))="",FALSE,IF(ISERROR('Monthly P&amp;L, cash and runway'!K5&lt;=12),'Monthly P&amp;L, cash and runway'!K5&lt;=12,IF('Monthly P&amp;L, cash and runway'!K5="","",'Monthly P&amp;L, cash and runway'!K5&lt;=12))),'Model inputs'!B56+('Model inputs'!B47-'Model inputs'!B56)*('Monthly P&amp;L, cash and runway'!K5-6)/6,'Model inputs'!B47+('Model inputs'!B50-'Model inputs'!B47)*('Monthly P&amp;L, cash and runway'!K5-12)/12))),0))</f>
        <v>2</v>
      </c>
      <c r="L8" s="9">
        <f>IF(IF(IF(ISERROR('Monthly P&amp;L, cash and runway'!L5&lt;1),'Monthly P&amp;L, cash and runway'!L5&lt;1,IF('Monthly P&amp;L, cash and runway'!L5="","",'Monthly P&amp;L, cash and runway'!L5&lt;1))="",FALSE,IF(ISERROR('Monthly P&amp;L, cash and runway'!L5&lt;1),'Monthly P&amp;L, cash and runway'!L5&lt;1,IF('Monthly P&amp;L, cash and runway'!L5="","",'Monthly P&amp;L, cash and runway'!L5&lt;1))),0,ROUND(IF(IF(IF(ISERROR('Monthly P&amp;L, cash and runway'!L5&lt;=3),'Monthly P&amp;L, cash and runway'!L5&lt;=3,IF('Monthly P&amp;L, cash and runway'!L5="","",'Monthly P&amp;L, cash and runway'!L5&lt;=3))="",FALSE,IF(ISERROR('Monthly P&amp;L, cash and runway'!L5&lt;=3),'Monthly P&amp;L, cash and runway'!L5&lt;=3,IF('Monthly P&amp;L, cash and runway'!L5="","",'Monthly P&amp;L, cash and runway'!L5&lt;=3))),IF('Model inputs'!B53="","",'Model inputs'!B53),IF(IF(IF(ISERROR('Monthly P&amp;L, cash and runway'!L5&lt;=6),'Monthly P&amp;L, cash and runway'!L5&lt;=6,IF('Monthly P&amp;L, cash and runway'!L5="","",'Monthly P&amp;L, cash and runway'!L5&lt;=6))="",FALSE,IF(ISERROR('Monthly P&amp;L, cash and runway'!L5&lt;=6),'Monthly P&amp;L, cash and runway'!L5&lt;=6,IF('Monthly P&amp;L, cash and runway'!L5="","",'Monthly P&amp;L, cash and runway'!L5&lt;=6))),'Model inputs'!B53+('Model inputs'!B56-'Model inputs'!B53)*('Monthly P&amp;L, cash and runway'!L5-3)/3,IF(IF(IF(ISERROR('Monthly P&amp;L, cash and runway'!L5&lt;=12),'Monthly P&amp;L, cash and runway'!L5&lt;=12,IF('Monthly P&amp;L, cash and runway'!L5="","",'Monthly P&amp;L, cash and runway'!L5&lt;=12))="",FALSE,IF(ISERROR('Monthly P&amp;L, cash and runway'!L5&lt;=12),'Monthly P&amp;L, cash and runway'!L5&lt;=12,IF('Monthly P&amp;L, cash and runway'!L5="","",'Monthly P&amp;L, cash and runway'!L5&lt;=12))),'Model inputs'!B56+('Model inputs'!B47-'Model inputs'!B56)*('Monthly P&amp;L, cash and runway'!L5-6)/6,'Model inputs'!B47+('Model inputs'!B50-'Model inputs'!B47)*('Monthly P&amp;L, cash and runway'!L5-12)/12))),0))</f>
        <v>3</v>
      </c>
      <c r="M8" s="9">
        <f>IF(IF(IF(ISERROR('Monthly P&amp;L, cash and runway'!M5&lt;1),'Monthly P&amp;L, cash and runway'!M5&lt;1,IF('Monthly P&amp;L, cash and runway'!M5="","",'Monthly P&amp;L, cash and runway'!M5&lt;1))="",FALSE,IF(ISERROR('Monthly P&amp;L, cash and runway'!M5&lt;1),'Monthly P&amp;L, cash and runway'!M5&lt;1,IF('Monthly P&amp;L, cash and runway'!M5="","",'Monthly P&amp;L, cash and runway'!M5&lt;1))),0,ROUND(IF(IF(IF(ISERROR('Monthly P&amp;L, cash and runway'!M5&lt;=3),'Monthly P&amp;L, cash and runway'!M5&lt;=3,IF('Monthly P&amp;L, cash and runway'!M5="","",'Monthly P&amp;L, cash and runway'!M5&lt;=3))="",FALSE,IF(ISERROR('Monthly P&amp;L, cash and runway'!M5&lt;=3),'Monthly P&amp;L, cash and runway'!M5&lt;=3,IF('Monthly P&amp;L, cash and runway'!M5="","",'Monthly P&amp;L, cash and runway'!M5&lt;=3))),IF('Model inputs'!B53="","",'Model inputs'!B53),IF(IF(IF(ISERROR('Monthly P&amp;L, cash and runway'!M5&lt;=6),'Monthly P&amp;L, cash and runway'!M5&lt;=6,IF('Monthly P&amp;L, cash and runway'!M5="","",'Monthly P&amp;L, cash and runway'!M5&lt;=6))="",FALSE,IF(ISERROR('Monthly P&amp;L, cash and runway'!M5&lt;=6),'Monthly P&amp;L, cash and runway'!M5&lt;=6,IF('Monthly P&amp;L, cash and runway'!M5="","",'Monthly P&amp;L, cash and runway'!M5&lt;=6))),'Model inputs'!B53+('Model inputs'!B56-'Model inputs'!B53)*('Monthly P&amp;L, cash and runway'!M5-3)/3,IF(IF(IF(ISERROR('Monthly P&amp;L, cash and runway'!M5&lt;=12),'Monthly P&amp;L, cash and runway'!M5&lt;=12,IF('Monthly P&amp;L, cash and runway'!M5="","",'Monthly P&amp;L, cash and runway'!M5&lt;=12))="",FALSE,IF(ISERROR('Monthly P&amp;L, cash and runway'!M5&lt;=12),'Monthly P&amp;L, cash and runway'!M5&lt;=12,IF('Monthly P&amp;L, cash and runway'!M5="","",'Monthly P&amp;L, cash and runway'!M5&lt;=12))),'Model inputs'!B56+('Model inputs'!B47-'Model inputs'!B56)*('Monthly P&amp;L, cash and runway'!M5-6)/6,'Model inputs'!B47+('Model inputs'!B50-'Model inputs'!B47)*('Monthly P&amp;L, cash and runway'!M5-12)/12))),0))</f>
        <v>3</v>
      </c>
      <c r="N8" s="9">
        <f>IF(IF(IF(ISERROR('Monthly P&amp;L, cash and runway'!N5&lt;1),'Monthly P&amp;L, cash and runway'!N5&lt;1,IF('Monthly P&amp;L, cash and runway'!N5="","",'Monthly P&amp;L, cash and runway'!N5&lt;1))="",FALSE,IF(ISERROR('Monthly P&amp;L, cash and runway'!N5&lt;1),'Monthly P&amp;L, cash and runway'!N5&lt;1,IF('Monthly P&amp;L, cash and runway'!N5="","",'Monthly P&amp;L, cash and runway'!N5&lt;1))),0,ROUND(IF(IF(IF(ISERROR('Monthly P&amp;L, cash and runway'!N5&lt;=3),'Monthly P&amp;L, cash and runway'!N5&lt;=3,IF('Monthly P&amp;L, cash and runway'!N5="","",'Monthly P&amp;L, cash and runway'!N5&lt;=3))="",FALSE,IF(ISERROR('Monthly P&amp;L, cash and runway'!N5&lt;=3),'Monthly P&amp;L, cash and runway'!N5&lt;=3,IF('Monthly P&amp;L, cash and runway'!N5="","",'Monthly P&amp;L, cash and runway'!N5&lt;=3))),IF('Model inputs'!B53="","",'Model inputs'!B53),IF(IF(IF(ISERROR('Monthly P&amp;L, cash and runway'!N5&lt;=6),'Monthly P&amp;L, cash and runway'!N5&lt;=6,IF('Monthly P&amp;L, cash and runway'!N5="","",'Monthly P&amp;L, cash and runway'!N5&lt;=6))="",FALSE,IF(ISERROR('Monthly P&amp;L, cash and runway'!N5&lt;=6),'Monthly P&amp;L, cash and runway'!N5&lt;=6,IF('Monthly P&amp;L, cash and runway'!N5="","",'Monthly P&amp;L, cash and runway'!N5&lt;=6))),'Model inputs'!B53+('Model inputs'!B56-'Model inputs'!B53)*('Monthly P&amp;L, cash and runway'!N5-3)/3,IF(IF(IF(ISERROR('Monthly P&amp;L, cash and runway'!N5&lt;=12),'Monthly P&amp;L, cash and runway'!N5&lt;=12,IF('Monthly P&amp;L, cash and runway'!N5="","",'Monthly P&amp;L, cash and runway'!N5&lt;=12))="",FALSE,IF(ISERROR('Monthly P&amp;L, cash and runway'!N5&lt;=12),'Monthly P&amp;L, cash and runway'!N5&lt;=12,IF('Monthly P&amp;L, cash and runway'!N5="","",'Monthly P&amp;L, cash and runway'!N5&lt;=12))),'Model inputs'!B56+('Model inputs'!B47-'Model inputs'!B56)*('Monthly P&amp;L, cash and runway'!N5-6)/6,'Model inputs'!B47+('Model inputs'!B50-'Model inputs'!B47)*('Monthly P&amp;L, cash and runway'!N5-12)/12))),0))</f>
        <v>4</v>
      </c>
      <c r="O8" s="9">
        <f>IF(IF(IF(ISERROR('Monthly P&amp;L, cash and runway'!O5&lt;1),'Monthly P&amp;L, cash and runway'!O5&lt;1,IF('Monthly P&amp;L, cash and runway'!O5="","",'Monthly P&amp;L, cash and runway'!O5&lt;1))="",FALSE,IF(ISERROR('Monthly P&amp;L, cash and runway'!O5&lt;1),'Monthly P&amp;L, cash and runway'!O5&lt;1,IF('Monthly P&amp;L, cash and runway'!O5="","",'Monthly P&amp;L, cash and runway'!O5&lt;1))),0,ROUND(IF(IF(IF(ISERROR('Monthly P&amp;L, cash and runway'!O5&lt;=3),'Monthly P&amp;L, cash and runway'!O5&lt;=3,IF('Monthly P&amp;L, cash and runway'!O5="","",'Monthly P&amp;L, cash and runway'!O5&lt;=3))="",FALSE,IF(ISERROR('Monthly P&amp;L, cash and runway'!O5&lt;=3),'Monthly P&amp;L, cash and runway'!O5&lt;=3,IF('Monthly P&amp;L, cash and runway'!O5="","",'Monthly P&amp;L, cash and runway'!O5&lt;=3))),IF('Model inputs'!B53="","",'Model inputs'!B53),IF(IF(IF(ISERROR('Monthly P&amp;L, cash and runway'!O5&lt;=6),'Monthly P&amp;L, cash and runway'!O5&lt;=6,IF('Monthly P&amp;L, cash and runway'!O5="","",'Monthly P&amp;L, cash and runway'!O5&lt;=6))="",FALSE,IF(ISERROR('Monthly P&amp;L, cash and runway'!O5&lt;=6),'Monthly P&amp;L, cash and runway'!O5&lt;=6,IF('Monthly P&amp;L, cash and runway'!O5="","",'Monthly P&amp;L, cash and runway'!O5&lt;=6))),'Model inputs'!B53+('Model inputs'!B56-'Model inputs'!B53)*('Monthly P&amp;L, cash and runway'!O5-3)/3,IF(IF(IF(ISERROR('Monthly P&amp;L, cash and runway'!O5&lt;=12),'Monthly P&amp;L, cash and runway'!O5&lt;=12,IF('Monthly P&amp;L, cash and runway'!O5="","",'Monthly P&amp;L, cash and runway'!O5&lt;=12))="",FALSE,IF(ISERROR('Monthly P&amp;L, cash and runway'!O5&lt;=12),'Monthly P&amp;L, cash and runway'!O5&lt;=12,IF('Monthly P&amp;L, cash and runway'!O5="","",'Monthly P&amp;L, cash and runway'!O5&lt;=12))),'Model inputs'!B56+('Model inputs'!B47-'Model inputs'!B56)*('Monthly P&amp;L, cash and runway'!O5-6)/6,'Model inputs'!B47+('Model inputs'!B50-'Model inputs'!B47)*('Monthly P&amp;L, cash and runway'!O5-12)/12))),0))</f>
        <v>4</v>
      </c>
      <c r="P8" s="9">
        <f>IF(IF(IF(ISERROR('Monthly P&amp;L, cash and runway'!P5&lt;1),'Monthly P&amp;L, cash and runway'!P5&lt;1,IF('Monthly P&amp;L, cash and runway'!P5="","",'Monthly P&amp;L, cash and runway'!P5&lt;1))="",FALSE,IF(ISERROR('Monthly P&amp;L, cash and runway'!P5&lt;1),'Monthly P&amp;L, cash and runway'!P5&lt;1,IF('Monthly P&amp;L, cash and runway'!P5="","",'Monthly P&amp;L, cash and runway'!P5&lt;1))),0,ROUND(IF(IF(IF(ISERROR('Monthly P&amp;L, cash and runway'!P5&lt;=3),'Monthly P&amp;L, cash and runway'!P5&lt;=3,IF('Monthly P&amp;L, cash and runway'!P5="","",'Monthly P&amp;L, cash and runway'!P5&lt;=3))="",FALSE,IF(ISERROR('Monthly P&amp;L, cash and runway'!P5&lt;=3),'Monthly P&amp;L, cash and runway'!P5&lt;=3,IF('Monthly P&amp;L, cash and runway'!P5="","",'Monthly P&amp;L, cash and runway'!P5&lt;=3))),IF('Model inputs'!B53="","",'Model inputs'!B53),IF(IF(IF(ISERROR('Monthly P&amp;L, cash and runway'!P5&lt;=6),'Monthly P&amp;L, cash and runway'!P5&lt;=6,IF('Monthly P&amp;L, cash and runway'!P5="","",'Monthly P&amp;L, cash and runway'!P5&lt;=6))="",FALSE,IF(ISERROR('Monthly P&amp;L, cash and runway'!P5&lt;=6),'Monthly P&amp;L, cash and runway'!P5&lt;=6,IF('Monthly P&amp;L, cash and runway'!P5="","",'Monthly P&amp;L, cash and runway'!P5&lt;=6))),'Model inputs'!B53+('Model inputs'!B56-'Model inputs'!B53)*('Monthly P&amp;L, cash and runway'!P5-3)/3,IF(IF(IF(ISERROR('Monthly P&amp;L, cash and runway'!P5&lt;=12),'Monthly P&amp;L, cash and runway'!P5&lt;=12,IF('Monthly P&amp;L, cash and runway'!P5="","",'Monthly P&amp;L, cash and runway'!P5&lt;=12))="",FALSE,IF(ISERROR('Monthly P&amp;L, cash and runway'!P5&lt;=12),'Monthly P&amp;L, cash and runway'!P5&lt;=12,IF('Monthly P&amp;L, cash and runway'!P5="","",'Monthly P&amp;L, cash and runway'!P5&lt;=12))),'Model inputs'!B56+('Model inputs'!B47-'Model inputs'!B56)*('Monthly P&amp;L, cash and runway'!P5-6)/6,'Model inputs'!B47+('Model inputs'!B50-'Model inputs'!B47)*('Monthly P&amp;L, cash and runway'!P5-12)/12))),0))</f>
        <v>5</v>
      </c>
      <c r="Q8" s="9">
        <f>IF(IF(IF(ISERROR('Monthly P&amp;L, cash and runway'!Q5&lt;1),'Monthly P&amp;L, cash and runway'!Q5&lt;1,IF('Monthly P&amp;L, cash and runway'!Q5="","",'Monthly P&amp;L, cash and runway'!Q5&lt;1))="",FALSE,IF(ISERROR('Monthly P&amp;L, cash and runway'!Q5&lt;1),'Monthly P&amp;L, cash and runway'!Q5&lt;1,IF('Monthly P&amp;L, cash and runway'!Q5="","",'Monthly P&amp;L, cash and runway'!Q5&lt;1))),0,ROUND(IF(IF(IF(ISERROR('Monthly P&amp;L, cash and runway'!Q5&lt;=3),'Monthly P&amp;L, cash and runway'!Q5&lt;=3,IF('Monthly P&amp;L, cash and runway'!Q5="","",'Monthly P&amp;L, cash and runway'!Q5&lt;=3))="",FALSE,IF(ISERROR('Monthly P&amp;L, cash and runway'!Q5&lt;=3),'Monthly P&amp;L, cash and runway'!Q5&lt;=3,IF('Monthly P&amp;L, cash and runway'!Q5="","",'Monthly P&amp;L, cash and runway'!Q5&lt;=3))),IF('Model inputs'!B53="","",'Model inputs'!B53),IF(IF(IF(ISERROR('Monthly P&amp;L, cash and runway'!Q5&lt;=6),'Monthly P&amp;L, cash and runway'!Q5&lt;=6,IF('Monthly P&amp;L, cash and runway'!Q5="","",'Monthly P&amp;L, cash and runway'!Q5&lt;=6))="",FALSE,IF(ISERROR('Monthly P&amp;L, cash and runway'!Q5&lt;=6),'Monthly P&amp;L, cash and runway'!Q5&lt;=6,IF('Monthly P&amp;L, cash and runway'!Q5="","",'Monthly P&amp;L, cash and runway'!Q5&lt;=6))),'Model inputs'!B53+('Model inputs'!B56-'Model inputs'!B53)*('Monthly P&amp;L, cash and runway'!Q5-3)/3,IF(IF(IF(ISERROR('Monthly P&amp;L, cash and runway'!Q5&lt;=12),'Monthly P&amp;L, cash and runway'!Q5&lt;=12,IF('Monthly P&amp;L, cash and runway'!Q5="","",'Monthly P&amp;L, cash and runway'!Q5&lt;=12))="",FALSE,IF(ISERROR('Monthly P&amp;L, cash and runway'!Q5&lt;=12),'Monthly P&amp;L, cash and runway'!Q5&lt;=12,IF('Monthly P&amp;L, cash and runway'!Q5="","",'Monthly P&amp;L, cash and runway'!Q5&lt;=12))),'Model inputs'!B56+('Model inputs'!B47-'Model inputs'!B56)*('Monthly P&amp;L, cash and runway'!Q5-6)/6,'Model inputs'!B47+('Model inputs'!B50-'Model inputs'!B47)*('Monthly P&amp;L, cash and runway'!Q5-12)/12))),0))</f>
        <v>5</v>
      </c>
      <c r="R8" s="9">
        <f>IF(IF(IF(ISERROR('Monthly P&amp;L, cash and runway'!R5&lt;1),'Monthly P&amp;L, cash and runway'!R5&lt;1,IF('Monthly P&amp;L, cash and runway'!R5="","",'Monthly P&amp;L, cash and runway'!R5&lt;1))="",FALSE,IF(ISERROR('Monthly P&amp;L, cash and runway'!R5&lt;1),'Monthly P&amp;L, cash and runway'!R5&lt;1,IF('Monthly P&amp;L, cash and runway'!R5="","",'Monthly P&amp;L, cash and runway'!R5&lt;1))),0,ROUND(IF(IF(IF(ISERROR('Monthly P&amp;L, cash and runway'!R5&lt;=3),'Monthly P&amp;L, cash and runway'!R5&lt;=3,IF('Monthly P&amp;L, cash and runway'!R5="","",'Monthly P&amp;L, cash and runway'!R5&lt;=3))="",FALSE,IF(ISERROR('Monthly P&amp;L, cash and runway'!R5&lt;=3),'Monthly P&amp;L, cash and runway'!R5&lt;=3,IF('Monthly P&amp;L, cash and runway'!R5="","",'Monthly P&amp;L, cash and runway'!R5&lt;=3))),IF('Model inputs'!B53="","",'Model inputs'!B53),IF(IF(IF(ISERROR('Monthly P&amp;L, cash and runway'!R5&lt;=6),'Monthly P&amp;L, cash and runway'!R5&lt;=6,IF('Monthly P&amp;L, cash and runway'!R5="","",'Monthly P&amp;L, cash and runway'!R5&lt;=6))="",FALSE,IF(ISERROR('Monthly P&amp;L, cash and runway'!R5&lt;=6),'Monthly P&amp;L, cash and runway'!R5&lt;=6,IF('Monthly P&amp;L, cash and runway'!R5="","",'Monthly P&amp;L, cash and runway'!R5&lt;=6))),'Model inputs'!B53+('Model inputs'!B56-'Model inputs'!B53)*('Monthly P&amp;L, cash and runway'!R5-3)/3,IF(IF(IF(ISERROR('Monthly P&amp;L, cash and runway'!R5&lt;=12),'Monthly P&amp;L, cash and runway'!R5&lt;=12,IF('Monthly P&amp;L, cash and runway'!R5="","",'Monthly P&amp;L, cash and runway'!R5&lt;=12))="",FALSE,IF(ISERROR('Monthly P&amp;L, cash and runway'!R5&lt;=12),'Monthly P&amp;L, cash and runway'!R5&lt;=12,IF('Monthly P&amp;L, cash and runway'!R5="","",'Monthly P&amp;L, cash and runway'!R5&lt;=12))),'Model inputs'!B56+('Model inputs'!B47-'Model inputs'!B56)*('Monthly P&amp;L, cash and runway'!R5-6)/6,'Model inputs'!B47+('Model inputs'!B50-'Model inputs'!B47)*('Monthly P&amp;L, cash and runway'!R5-12)/12))),0))</f>
        <v>6</v>
      </c>
      <c r="S8" s="9">
        <f>IF(IF(IF(ISERROR('Monthly P&amp;L, cash and runway'!S5&lt;1),'Monthly P&amp;L, cash and runway'!S5&lt;1,IF('Monthly P&amp;L, cash and runway'!S5="","",'Monthly P&amp;L, cash and runway'!S5&lt;1))="",FALSE,IF(ISERROR('Monthly P&amp;L, cash and runway'!S5&lt;1),'Monthly P&amp;L, cash and runway'!S5&lt;1,IF('Monthly P&amp;L, cash and runway'!S5="","",'Monthly P&amp;L, cash and runway'!S5&lt;1))),0,ROUND(IF(IF(IF(ISERROR('Monthly P&amp;L, cash and runway'!S5&lt;=3),'Monthly P&amp;L, cash and runway'!S5&lt;=3,IF('Monthly P&amp;L, cash and runway'!S5="","",'Monthly P&amp;L, cash and runway'!S5&lt;=3))="",FALSE,IF(ISERROR('Monthly P&amp;L, cash and runway'!S5&lt;=3),'Monthly P&amp;L, cash and runway'!S5&lt;=3,IF('Monthly P&amp;L, cash and runway'!S5="","",'Monthly P&amp;L, cash and runway'!S5&lt;=3))),IF('Model inputs'!B53="","",'Model inputs'!B53),IF(IF(IF(ISERROR('Monthly P&amp;L, cash and runway'!S5&lt;=6),'Monthly P&amp;L, cash and runway'!S5&lt;=6,IF('Monthly P&amp;L, cash and runway'!S5="","",'Monthly P&amp;L, cash and runway'!S5&lt;=6))="",FALSE,IF(ISERROR('Monthly P&amp;L, cash and runway'!S5&lt;=6),'Monthly P&amp;L, cash and runway'!S5&lt;=6,IF('Monthly P&amp;L, cash and runway'!S5="","",'Monthly P&amp;L, cash and runway'!S5&lt;=6))),'Model inputs'!B53+('Model inputs'!B56-'Model inputs'!B53)*('Monthly P&amp;L, cash and runway'!S5-3)/3,IF(IF(IF(ISERROR('Monthly P&amp;L, cash and runway'!S5&lt;=12),'Monthly P&amp;L, cash and runway'!S5&lt;=12,IF('Monthly P&amp;L, cash and runway'!S5="","",'Monthly P&amp;L, cash and runway'!S5&lt;=12))="",FALSE,IF(ISERROR('Monthly P&amp;L, cash and runway'!S5&lt;=12),'Monthly P&amp;L, cash and runway'!S5&lt;=12,IF('Monthly P&amp;L, cash and runway'!S5="","",'Monthly P&amp;L, cash and runway'!S5&lt;=12))),'Model inputs'!B56+('Model inputs'!B47-'Model inputs'!B56)*('Monthly P&amp;L, cash and runway'!S5-6)/6,'Model inputs'!B47+('Model inputs'!B50-'Model inputs'!B47)*('Monthly P&amp;L, cash and runway'!S5-12)/12))),0))</f>
        <v>7</v>
      </c>
      <c r="T8" s="9">
        <f>IF(IF(IF(ISERROR('Monthly P&amp;L, cash and runway'!T5&lt;1),'Monthly P&amp;L, cash and runway'!T5&lt;1,IF('Monthly P&amp;L, cash and runway'!T5="","",'Monthly P&amp;L, cash and runway'!T5&lt;1))="",FALSE,IF(ISERROR('Monthly P&amp;L, cash and runway'!T5&lt;1),'Monthly P&amp;L, cash and runway'!T5&lt;1,IF('Monthly P&amp;L, cash and runway'!T5="","",'Monthly P&amp;L, cash and runway'!T5&lt;1))),0,ROUND(IF(IF(IF(ISERROR('Monthly P&amp;L, cash and runway'!T5&lt;=3),'Monthly P&amp;L, cash and runway'!T5&lt;=3,IF('Monthly P&amp;L, cash and runway'!T5="","",'Monthly P&amp;L, cash and runway'!T5&lt;=3))="",FALSE,IF(ISERROR('Monthly P&amp;L, cash and runway'!T5&lt;=3),'Monthly P&amp;L, cash and runway'!T5&lt;=3,IF('Monthly P&amp;L, cash and runway'!T5="","",'Monthly P&amp;L, cash and runway'!T5&lt;=3))),IF('Model inputs'!B53="","",'Model inputs'!B53),IF(IF(IF(ISERROR('Monthly P&amp;L, cash and runway'!T5&lt;=6),'Monthly P&amp;L, cash and runway'!T5&lt;=6,IF('Monthly P&amp;L, cash and runway'!T5="","",'Monthly P&amp;L, cash and runway'!T5&lt;=6))="",FALSE,IF(ISERROR('Monthly P&amp;L, cash and runway'!T5&lt;=6),'Monthly P&amp;L, cash and runway'!T5&lt;=6,IF('Monthly P&amp;L, cash and runway'!T5="","",'Monthly P&amp;L, cash and runway'!T5&lt;=6))),'Model inputs'!B53+('Model inputs'!B56-'Model inputs'!B53)*('Monthly P&amp;L, cash and runway'!T5-3)/3,IF(IF(IF(ISERROR('Monthly P&amp;L, cash and runway'!T5&lt;=12),'Monthly P&amp;L, cash and runway'!T5&lt;=12,IF('Monthly P&amp;L, cash and runway'!T5="","",'Monthly P&amp;L, cash and runway'!T5&lt;=12))="",FALSE,IF(ISERROR('Monthly P&amp;L, cash and runway'!T5&lt;=12),'Monthly P&amp;L, cash and runway'!T5&lt;=12,IF('Monthly P&amp;L, cash and runway'!T5="","",'Monthly P&amp;L, cash and runway'!T5&lt;=12))),'Model inputs'!B56+('Model inputs'!B47-'Model inputs'!B56)*('Monthly P&amp;L, cash and runway'!T5-6)/6,'Model inputs'!B47+('Model inputs'!B50-'Model inputs'!B47)*('Monthly P&amp;L, cash and runway'!T5-12)/12))),0))</f>
        <v>7</v>
      </c>
      <c r="U8" s="9">
        <f>IF(IF(IF(ISERROR('Monthly P&amp;L, cash and runway'!U5&lt;1),'Monthly P&amp;L, cash and runway'!U5&lt;1,IF('Monthly P&amp;L, cash and runway'!U5="","",'Monthly P&amp;L, cash and runway'!U5&lt;1))="",FALSE,IF(ISERROR('Monthly P&amp;L, cash and runway'!U5&lt;1),'Monthly P&amp;L, cash and runway'!U5&lt;1,IF('Monthly P&amp;L, cash and runway'!U5="","",'Monthly P&amp;L, cash and runway'!U5&lt;1))),0,ROUND(IF(IF(IF(ISERROR('Monthly P&amp;L, cash and runway'!U5&lt;=3),'Monthly P&amp;L, cash and runway'!U5&lt;=3,IF('Monthly P&amp;L, cash and runway'!U5="","",'Monthly P&amp;L, cash and runway'!U5&lt;=3))="",FALSE,IF(ISERROR('Monthly P&amp;L, cash and runway'!U5&lt;=3),'Monthly P&amp;L, cash and runway'!U5&lt;=3,IF('Monthly P&amp;L, cash and runway'!U5="","",'Monthly P&amp;L, cash and runway'!U5&lt;=3))),IF('Model inputs'!B53="","",'Model inputs'!B53),IF(IF(IF(ISERROR('Monthly P&amp;L, cash and runway'!U5&lt;=6),'Monthly P&amp;L, cash and runway'!U5&lt;=6,IF('Monthly P&amp;L, cash and runway'!U5="","",'Monthly P&amp;L, cash and runway'!U5&lt;=6))="",FALSE,IF(ISERROR('Monthly P&amp;L, cash and runway'!U5&lt;=6),'Monthly P&amp;L, cash and runway'!U5&lt;=6,IF('Monthly P&amp;L, cash and runway'!U5="","",'Monthly P&amp;L, cash and runway'!U5&lt;=6))),'Model inputs'!B53+('Model inputs'!B56-'Model inputs'!B53)*('Monthly P&amp;L, cash and runway'!U5-3)/3,IF(IF(IF(ISERROR('Monthly P&amp;L, cash and runway'!U5&lt;=12),'Monthly P&amp;L, cash and runway'!U5&lt;=12,IF('Monthly P&amp;L, cash and runway'!U5="","",'Monthly P&amp;L, cash and runway'!U5&lt;=12))="",FALSE,IF(ISERROR('Monthly P&amp;L, cash and runway'!U5&lt;=12),'Monthly P&amp;L, cash and runway'!U5&lt;=12,IF('Monthly P&amp;L, cash and runway'!U5="","",'Monthly P&amp;L, cash and runway'!U5&lt;=12))),'Model inputs'!B56+('Model inputs'!B47-'Model inputs'!B56)*('Monthly P&amp;L, cash and runway'!U5-6)/6,'Model inputs'!B47+('Model inputs'!B50-'Model inputs'!B47)*('Monthly P&amp;L, cash and runway'!U5-12)/12))),0))</f>
        <v>8</v>
      </c>
      <c r="V8" s="9">
        <f>IF(IF(IF(ISERROR('Monthly P&amp;L, cash and runway'!V5&lt;1),'Monthly P&amp;L, cash and runway'!V5&lt;1,IF('Monthly P&amp;L, cash and runway'!V5="","",'Monthly P&amp;L, cash and runway'!V5&lt;1))="",FALSE,IF(ISERROR('Monthly P&amp;L, cash and runway'!V5&lt;1),'Monthly P&amp;L, cash and runway'!V5&lt;1,IF('Monthly P&amp;L, cash and runway'!V5="","",'Monthly P&amp;L, cash and runway'!V5&lt;1))),0,ROUND(IF(IF(IF(ISERROR('Monthly P&amp;L, cash and runway'!V5&lt;=3),'Monthly P&amp;L, cash and runway'!V5&lt;=3,IF('Monthly P&amp;L, cash and runway'!V5="","",'Monthly P&amp;L, cash and runway'!V5&lt;=3))="",FALSE,IF(ISERROR('Monthly P&amp;L, cash and runway'!V5&lt;=3),'Monthly P&amp;L, cash and runway'!V5&lt;=3,IF('Monthly P&amp;L, cash and runway'!V5="","",'Monthly P&amp;L, cash and runway'!V5&lt;=3))),IF('Model inputs'!B53="","",'Model inputs'!B53),IF(IF(IF(ISERROR('Monthly P&amp;L, cash and runway'!V5&lt;=6),'Monthly P&amp;L, cash and runway'!V5&lt;=6,IF('Monthly P&amp;L, cash and runway'!V5="","",'Monthly P&amp;L, cash and runway'!V5&lt;=6))="",FALSE,IF(ISERROR('Monthly P&amp;L, cash and runway'!V5&lt;=6),'Monthly P&amp;L, cash and runway'!V5&lt;=6,IF('Monthly P&amp;L, cash and runway'!V5="","",'Monthly P&amp;L, cash and runway'!V5&lt;=6))),'Model inputs'!B53+('Model inputs'!B56-'Model inputs'!B53)*('Monthly P&amp;L, cash and runway'!V5-3)/3,IF(IF(IF(ISERROR('Monthly P&amp;L, cash and runway'!V5&lt;=12),'Monthly P&amp;L, cash and runway'!V5&lt;=12,IF('Monthly P&amp;L, cash and runway'!V5="","",'Monthly P&amp;L, cash and runway'!V5&lt;=12))="",FALSE,IF(ISERROR('Monthly P&amp;L, cash and runway'!V5&lt;=12),'Monthly P&amp;L, cash and runway'!V5&lt;=12,IF('Monthly P&amp;L, cash and runway'!V5="","",'Monthly P&amp;L, cash and runway'!V5&lt;=12))),'Model inputs'!B56+('Model inputs'!B47-'Model inputs'!B56)*('Monthly P&amp;L, cash and runway'!V5-6)/6,'Model inputs'!B47+('Model inputs'!B50-'Model inputs'!B47)*('Monthly P&amp;L, cash and runway'!V5-12)/12))),0))</f>
        <v>8</v>
      </c>
      <c r="W8" s="9">
        <f>IF(IF(IF(ISERROR('Monthly P&amp;L, cash and runway'!W5&lt;1),'Monthly P&amp;L, cash and runway'!W5&lt;1,IF('Monthly P&amp;L, cash and runway'!W5="","",'Monthly P&amp;L, cash and runway'!W5&lt;1))="",FALSE,IF(ISERROR('Monthly P&amp;L, cash and runway'!W5&lt;1),'Monthly P&amp;L, cash and runway'!W5&lt;1,IF('Monthly P&amp;L, cash and runway'!W5="","",'Monthly P&amp;L, cash and runway'!W5&lt;1))),0,ROUND(IF(IF(IF(ISERROR('Monthly P&amp;L, cash and runway'!W5&lt;=3),'Monthly P&amp;L, cash and runway'!W5&lt;=3,IF('Monthly P&amp;L, cash and runway'!W5="","",'Monthly P&amp;L, cash and runway'!W5&lt;=3))="",FALSE,IF(ISERROR('Monthly P&amp;L, cash and runway'!W5&lt;=3),'Monthly P&amp;L, cash and runway'!W5&lt;=3,IF('Monthly P&amp;L, cash and runway'!W5="","",'Monthly P&amp;L, cash and runway'!W5&lt;=3))),IF('Model inputs'!B53="","",'Model inputs'!B53),IF(IF(IF(ISERROR('Monthly P&amp;L, cash and runway'!W5&lt;=6),'Monthly P&amp;L, cash and runway'!W5&lt;=6,IF('Monthly P&amp;L, cash and runway'!W5="","",'Monthly P&amp;L, cash and runway'!W5&lt;=6))="",FALSE,IF(ISERROR('Monthly P&amp;L, cash and runway'!W5&lt;=6),'Monthly P&amp;L, cash and runway'!W5&lt;=6,IF('Monthly P&amp;L, cash and runway'!W5="","",'Monthly P&amp;L, cash and runway'!W5&lt;=6))),'Model inputs'!B53+('Model inputs'!B56-'Model inputs'!B53)*('Monthly P&amp;L, cash and runway'!W5-3)/3,IF(IF(IF(ISERROR('Monthly P&amp;L, cash and runway'!W5&lt;=12),'Monthly P&amp;L, cash and runway'!W5&lt;=12,IF('Monthly P&amp;L, cash and runway'!W5="","",'Monthly P&amp;L, cash and runway'!W5&lt;=12))="",FALSE,IF(ISERROR('Monthly P&amp;L, cash and runway'!W5&lt;=12),'Monthly P&amp;L, cash and runway'!W5&lt;=12,IF('Monthly P&amp;L, cash and runway'!W5="","",'Monthly P&amp;L, cash and runway'!W5&lt;=12))),'Model inputs'!B56+('Model inputs'!B47-'Model inputs'!B56)*('Monthly P&amp;L, cash and runway'!W5-6)/6,'Model inputs'!B47+('Model inputs'!B50-'Model inputs'!B47)*('Monthly P&amp;L, cash and runway'!W5-12)/12))),0))</f>
        <v>9</v>
      </c>
      <c r="X8" s="9">
        <f>IF(IF(IF(ISERROR('Monthly P&amp;L, cash and runway'!X5&lt;1),'Monthly P&amp;L, cash and runway'!X5&lt;1,IF('Monthly P&amp;L, cash and runway'!X5="","",'Monthly P&amp;L, cash and runway'!X5&lt;1))="",FALSE,IF(ISERROR('Monthly P&amp;L, cash and runway'!X5&lt;1),'Monthly P&amp;L, cash and runway'!X5&lt;1,IF('Monthly P&amp;L, cash and runway'!X5="","",'Monthly P&amp;L, cash and runway'!X5&lt;1))),0,ROUND(IF(IF(IF(ISERROR('Monthly P&amp;L, cash and runway'!X5&lt;=3),'Monthly P&amp;L, cash and runway'!X5&lt;=3,IF('Monthly P&amp;L, cash and runway'!X5="","",'Monthly P&amp;L, cash and runway'!X5&lt;=3))="",FALSE,IF(ISERROR('Monthly P&amp;L, cash and runway'!X5&lt;=3),'Monthly P&amp;L, cash and runway'!X5&lt;=3,IF('Monthly P&amp;L, cash and runway'!X5="","",'Monthly P&amp;L, cash and runway'!X5&lt;=3))),IF('Model inputs'!B53="","",'Model inputs'!B53),IF(IF(IF(ISERROR('Monthly P&amp;L, cash and runway'!X5&lt;=6),'Monthly P&amp;L, cash and runway'!X5&lt;=6,IF('Monthly P&amp;L, cash and runway'!X5="","",'Monthly P&amp;L, cash and runway'!X5&lt;=6))="",FALSE,IF(ISERROR('Monthly P&amp;L, cash and runway'!X5&lt;=6),'Monthly P&amp;L, cash and runway'!X5&lt;=6,IF('Monthly P&amp;L, cash and runway'!X5="","",'Monthly P&amp;L, cash and runway'!X5&lt;=6))),'Model inputs'!B53+('Model inputs'!B56-'Model inputs'!B53)*('Monthly P&amp;L, cash and runway'!X5-3)/3,IF(IF(IF(ISERROR('Monthly P&amp;L, cash and runway'!X5&lt;=12),'Monthly P&amp;L, cash and runway'!X5&lt;=12,IF('Monthly P&amp;L, cash and runway'!X5="","",'Monthly P&amp;L, cash and runway'!X5&lt;=12))="",FALSE,IF(ISERROR('Monthly P&amp;L, cash and runway'!X5&lt;=12),'Monthly P&amp;L, cash and runway'!X5&lt;=12,IF('Monthly P&amp;L, cash and runway'!X5="","",'Monthly P&amp;L, cash and runway'!X5&lt;=12))),'Model inputs'!B56+('Model inputs'!B47-'Model inputs'!B56)*('Monthly P&amp;L, cash and runway'!X5-6)/6,'Model inputs'!B47+('Model inputs'!B50-'Model inputs'!B47)*('Monthly P&amp;L, cash and runway'!X5-12)/12))),0))</f>
        <v>9</v>
      </c>
      <c r="Y8" s="9">
        <f>IF(IF(IF(ISERROR('Monthly P&amp;L, cash and runway'!Y5&lt;1),'Monthly P&amp;L, cash and runway'!Y5&lt;1,IF('Monthly P&amp;L, cash and runway'!Y5="","",'Monthly P&amp;L, cash and runway'!Y5&lt;1))="",FALSE,IF(ISERROR('Monthly P&amp;L, cash and runway'!Y5&lt;1),'Monthly P&amp;L, cash and runway'!Y5&lt;1,IF('Monthly P&amp;L, cash and runway'!Y5="","",'Monthly P&amp;L, cash and runway'!Y5&lt;1))),0,ROUND(IF(IF(IF(ISERROR('Monthly P&amp;L, cash and runway'!Y5&lt;=3),'Monthly P&amp;L, cash and runway'!Y5&lt;=3,IF('Monthly P&amp;L, cash and runway'!Y5="","",'Monthly P&amp;L, cash and runway'!Y5&lt;=3))="",FALSE,IF(ISERROR('Monthly P&amp;L, cash and runway'!Y5&lt;=3),'Monthly P&amp;L, cash and runway'!Y5&lt;=3,IF('Monthly P&amp;L, cash and runway'!Y5="","",'Monthly P&amp;L, cash and runway'!Y5&lt;=3))),IF('Model inputs'!B53="","",'Model inputs'!B53),IF(IF(IF(ISERROR('Monthly P&amp;L, cash and runway'!Y5&lt;=6),'Monthly P&amp;L, cash and runway'!Y5&lt;=6,IF('Monthly P&amp;L, cash and runway'!Y5="","",'Monthly P&amp;L, cash and runway'!Y5&lt;=6))="",FALSE,IF(ISERROR('Monthly P&amp;L, cash and runway'!Y5&lt;=6),'Monthly P&amp;L, cash and runway'!Y5&lt;=6,IF('Monthly P&amp;L, cash and runway'!Y5="","",'Monthly P&amp;L, cash and runway'!Y5&lt;=6))),'Model inputs'!B53+('Model inputs'!B56-'Model inputs'!B53)*('Monthly P&amp;L, cash and runway'!Y5-3)/3,IF(IF(IF(ISERROR('Monthly P&amp;L, cash and runway'!Y5&lt;=12),'Monthly P&amp;L, cash and runway'!Y5&lt;=12,IF('Monthly P&amp;L, cash and runway'!Y5="","",'Monthly P&amp;L, cash and runway'!Y5&lt;=12))="",FALSE,IF(ISERROR('Monthly P&amp;L, cash and runway'!Y5&lt;=12),'Monthly P&amp;L, cash and runway'!Y5&lt;=12,IF('Monthly P&amp;L, cash and runway'!Y5="","",'Monthly P&amp;L, cash and runway'!Y5&lt;=12))),'Model inputs'!B56+('Model inputs'!B47-'Model inputs'!B56)*('Monthly P&amp;L, cash and runway'!Y5-6)/6,'Model inputs'!B47+('Model inputs'!B50-'Model inputs'!B47)*('Monthly P&amp;L, cash and runway'!Y5-12)/12))),0))</f>
        <v>10</v>
      </c>
    </row>
    <row r="9">
      <c r="A9" t="inlineStr" s="6">
        <is>
          <t xml:space="preserve">New customers</t>
        </is>
      </c>
      <c r="B9" s="7">
        <f>SUM('Monthly P&amp;L, cash and runway'!B10,'Monthly P&amp;L, cash and runway'!B11)</f>
        <v>0</v>
      </c>
      <c r="C9" s="7">
        <f>SUM('Monthly P&amp;L, cash and runway'!C10,'Monthly P&amp;L, cash and runway'!C11)</f>
        <v>0</v>
      </c>
      <c r="D9" s="7">
        <f>SUM('Monthly P&amp;L, cash and runway'!D10,'Monthly P&amp;L, cash and runway'!D11)</f>
        <v>0</v>
      </c>
      <c r="E9" s="7">
        <f>SUM('Monthly P&amp;L, cash and runway'!E10,'Monthly P&amp;L, cash and runway'!E11)</f>
        <v>2</v>
      </c>
      <c r="F9" s="7">
        <f>SUM('Monthly P&amp;L, cash and runway'!F10,'Monthly P&amp;L, cash and runway'!F11)</f>
        <v>2</v>
      </c>
      <c r="G9" s="7">
        <f>SUM('Monthly P&amp;L, cash and runway'!G10,'Monthly P&amp;L, cash and runway'!G11)</f>
        <v>2</v>
      </c>
      <c r="H9" s="7">
        <f>SUM('Monthly P&amp;L, cash and runway'!H10,'Monthly P&amp;L, cash and runway'!H11)</f>
        <v>2</v>
      </c>
      <c r="I9" s="7">
        <f>SUM('Monthly P&amp;L, cash and runway'!I10,'Monthly P&amp;L, cash and runway'!I11)</f>
        <v>2</v>
      </c>
      <c r="J9" s="7">
        <f>SUM('Monthly P&amp;L, cash and runway'!J10,'Monthly P&amp;L, cash and runway'!J11)</f>
        <v>2</v>
      </c>
      <c r="K9" s="7">
        <f>SUM('Monthly P&amp;L, cash and runway'!K10,'Monthly P&amp;L, cash and runway'!K11)</f>
        <v>2</v>
      </c>
      <c r="L9" s="7">
        <f>SUM('Monthly P&amp;L, cash and runway'!L10,'Monthly P&amp;L, cash and runway'!L11)</f>
        <v>2</v>
      </c>
      <c r="M9" s="7">
        <f>SUM('Monthly P&amp;L, cash and runway'!M10,'Monthly P&amp;L, cash and runway'!M11)</f>
        <v>2</v>
      </c>
      <c r="N9" s="7">
        <f>SUM('Monthly P&amp;L, cash and runway'!N10,'Monthly P&amp;L, cash and runway'!N11)</f>
        <v>3</v>
      </c>
      <c r="O9" s="7">
        <f>SUM('Monthly P&amp;L, cash and runway'!O10,'Monthly P&amp;L, cash and runway'!O11)</f>
        <v>2</v>
      </c>
      <c r="P9" s="7">
        <f>SUM('Monthly P&amp;L, cash and runway'!P10,'Monthly P&amp;L, cash and runway'!P11)</f>
        <v>3</v>
      </c>
      <c r="Q9" s="7">
        <f>SUM('Monthly P&amp;L, cash and runway'!Q10,'Monthly P&amp;L, cash and runway'!Q11)</f>
        <v>2</v>
      </c>
      <c r="R9" s="7">
        <f>SUM('Monthly P&amp;L, cash and runway'!R10,'Monthly P&amp;L, cash and runway'!R11)</f>
        <v>3</v>
      </c>
      <c r="S9" s="7">
        <f>SUM('Monthly P&amp;L, cash and runway'!S10,'Monthly P&amp;L, cash and runway'!S11)</f>
        <v>4</v>
      </c>
      <c r="T9" s="7">
        <f>SUM('Monthly P&amp;L, cash and runway'!T10,'Monthly P&amp;L, cash and runway'!T11)</f>
        <v>2</v>
      </c>
      <c r="U9" s="7">
        <f>SUM('Monthly P&amp;L, cash and runway'!U10,'Monthly P&amp;L, cash and runway'!U11)</f>
        <v>3</v>
      </c>
      <c r="V9" s="7">
        <f>SUM('Monthly P&amp;L, cash and runway'!V10,'Monthly P&amp;L, cash and runway'!V11)</f>
        <v>2</v>
      </c>
      <c r="W9" s="7">
        <f>SUM('Monthly P&amp;L, cash and runway'!W10,'Monthly P&amp;L, cash and runway'!W11)</f>
        <v>3</v>
      </c>
      <c r="X9" s="7">
        <f>SUM('Monthly P&amp;L, cash and runway'!X10,'Monthly P&amp;L, cash and runway'!X11)</f>
        <v>2</v>
      </c>
      <c r="Y9" s="7">
        <f>SUM('Monthly P&amp;L, cash and runway'!Y10,'Monthly P&amp;L, cash and runway'!Y11)</f>
        <v>3</v>
      </c>
    </row>
    <row r="10" outlineLevel="1">
      <c r="A10" t="inlineStr" s="8">
        <is>
          <t xml:space="preserve">Starter</t>
        </is>
      </c>
      <c r="B10" s="9">
        <f>IF(IF('Monthly P&amp;L, cash and runway'!B7-'Model inputs'!D17&gt;0="",FALSE,'Monthly P&amp;L, cash and runway'!B7-'Model inputs'!D17&gt;0),'Monthly P&amp;L, cash and runway'!B7-'Model inputs'!D17,0)</f>
        <v>0</v>
      </c>
      <c r="C10" s="9">
        <f>IF(IF('Monthly P&amp;L, cash and runway'!C7-'Monthly P&amp;L, cash and runway'!B7&gt;0="",FALSE,'Monthly P&amp;L, cash and runway'!C7-'Monthly P&amp;L, cash and runway'!B7&gt;0),'Monthly P&amp;L, cash and runway'!C7-'Monthly P&amp;L, cash and runway'!B7,0)</f>
        <v>0</v>
      </c>
      <c r="D10" s="9">
        <f>IF(IF('Monthly P&amp;L, cash and runway'!D7-'Monthly P&amp;L, cash and runway'!C7&gt;0="",FALSE,'Monthly P&amp;L, cash and runway'!D7-'Monthly P&amp;L, cash and runway'!C7&gt;0),'Monthly P&amp;L, cash and runway'!D7-'Monthly P&amp;L, cash and runway'!C7,0)</f>
        <v>0</v>
      </c>
      <c r="E10" s="9">
        <f>IF(IF('Monthly P&amp;L, cash and runway'!E7-'Monthly P&amp;L, cash and runway'!D7&gt;0="",FALSE,'Monthly P&amp;L, cash and runway'!E7-'Monthly P&amp;L, cash and runway'!D7&gt;0),'Monthly P&amp;L, cash and runway'!E7-'Monthly P&amp;L, cash and runway'!D7,0)</f>
        <v>2</v>
      </c>
      <c r="F10" s="9">
        <f>IF(IF('Monthly P&amp;L, cash and runway'!F7-'Monthly P&amp;L, cash and runway'!E7&gt;0="",FALSE,'Monthly P&amp;L, cash and runway'!F7-'Monthly P&amp;L, cash and runway'!E7&gt;0),'Monthly P&amp;L, cash and runway'!F7-'Monthly P&amp;L, cash and runway'!E7,0)</f>
        <v>1</v>
      </c>
      <c r="G10" s="9">
        <f>IF(IF('Monthly P&amp;L, cash and runway'!G7-'Monthly P&amp;L, cash and runway'!F7&gt;0="",FALSE,'Monthly P&amp;L, cash and runway'!G7-'Monthly P&amp;L, cash and runway'!F7&gt;0),'Monthly P&amp;L, cash and runway'!G7-'Monthly P&amp;L, cash and runway'!F7,0)</f>
        <v>2</v>
      </c>
      <c r="H10" s="9">
        <f>IF(IF('Monthly P&amp;L, cash and runway'!H7-'Monthly P&amp;L, cash and runway'!G7&gt;0="",FALSE,'Monthly P&amp;L, cash and runway'!H7-'Monthly P&amp;L, cash and runway'!G7&gt;0),'Monthly P&amp;L, cash and runway'!H7-'Monthly P&amp;L, cash and runway'!G7,0)</f>
        <v>2</v>
      </c>
      <c r="I10" s="9">
        <f>IF(IF('Monthly P&amp;L, cash and runway'!I7-'Monthly P&amp;L, cash and runway'!H7&gt;0="",FALSE,'Monthly P&amp;L, cash and runway'!I7-'Monthly P&amp;L, cash and runway'!H7&gt;0),'Monthly P&amp;L, cash and runway'!I7-'Monthly P&amp;L, cash and runway'!H7,0)</f>
        <v>1</v>
      </c>
      <c r="J10" s="9">
        <f>IF(IF('Monthly P&amp;L, cash and runway'!J7-'Monthly P&amp;L, cash and runway'!I7&gt;0="",FALSE,'Monthly P&amp;L, cash and runway'!J7-'Monthly P&amp;L, cash and runway'!I7&gt;0),'Monthly P&amp;L, cash and runway'!J7-'Monthly P&amp;L, cash and runway'!I7,0)</f>
        <v>2</v>
      </c>
      <c r="K10" s="9">
        <f>IF(IF('Monthly P&amp;L, cash and runway'!K7-'Monthly P&amp;L, cash and runway'!J7&gt;0="",FALSE,'Monthly P&amp;L, cash and runway'!K7-'Monthly P&amp;L, cash and runway'!J7&gt;0),'Monthly P&amp;L, cash and runway'!K7-'Monthly P&amp;L, cash and runway'!J7,0)</f>
        <v>2</v>
      </c>
      <c r="L10" s="9">
        <f>IF(IF('Monthly P&amp;L, cash and runway'!L7-'Monthly P&amp;L, cash and runway'!K7&gt;0="",FALSE,'Monthly P&amp;L, cash and runway'!L7-'Monthly P&amp;L, cash and runway'!K7&gt;0),'Monthly P&amp;L, cash and runway'!L7-'Monthly P&amp;L, cash and runway'!K7,0)</f>
        <v>1</v>
      </c>
      <c r="M10" s="9">
        <f>IF(IF('Monthly P&amp;L, cash and runway'!M7-'Monthly P&amp;L, cash and runway'!L7&gt;0="",FALSE,'Monthly P&amp;L, cash and runway'!M7-'Monthly P&amp;L, cash and runway'!L7&gt;0),'Monthly P&amp;L, cash and runway'!M7-'Monthly P&amp;L, cash and runway'!L7,0)</f>
        <v>2</v>
      </c>
      <c r="N10" s="9">
        <f>IF(IF('Monthly P&amp;L, cash and runway'!N7-'Monthly P&amp;L, cash and runway'!M7&gt;0="",FALSE,'Monthly P&amp;L, cash and runway'!N7-'Monthly P&amp;L, cash and runway'!M7&gt;0),'Monthly P&amp;L, cash and runway'!N7-'Monthly P&amp;L, cash and runway'!M7,0)</f>
        <v>2</v>
      </c>
      <c r="O10" s="9">
        <f>IF(IF('Monthly P&amp;L, cash and runway'!O7-'Monthly P&amp;L, cash and runway'!N7&gt;0="",FALSE,'Monthly P&amp;L, cash and runway'!O7-'Monthly P&amp;L, cash and runway'!N7&gt;0),'Monthly P&amp;L, cash and runway'!O7-'Monthly P&amp;L, cash and runway'!N7,0)</f>
        <v>2</v>
      </c>
      <c r="P10" s="9">
        <f>IF(IF('Monthly P&amp;L, cash and runway'!P7-'Monthly P&amp;L, cash and runway'!O7&gt;0="",FALSE,'Monthly P&amp;L, cash and runway'!P7-'Monthly P&amp;L, cash and runway'!O7&gt;0),'Monthly P&amp;L, cash and runway'!P7-'Monthly P&amp;L, cash and runway'!O7,0)</f>
        <v>2</v>
      </c>
      <c r="Q10" s="9">
        <f>IF(IF('Monthly P&amp;L, cash and runway'!Q7-'Monthly P&amp;L, cash and runway'!P7&gt;0="",FALSE,'Monthly P&amp;L, cash and runway'!Q7-'Monthly P&amp;L, cash and runway'!P7&gt;0),'Monthly P&amp;L, cash and runway'!Q7-'Monthly P&amp;L, cash and runway'!P7,0)</f>
        <v>2</v>
      </c>
      <c r="R10" s="9">
        <f>IF(IF('Monthly P&amp;L, cash and runway'!R7-'Monthly P&amp;L, cash and runway'!Q7&gt;0="",FALSE,'Monthly P&amp;L, cash and runway'!R7-'Monthly P&amp;L, cash and runway'!Q7&gt;0),'Monthly P&amp;L, cash and runway'!R7-'Monthly P&amp;L, cash and runway'!Q7,0)</f>
        <v>2</v>
      </c>
      <c r="S10" s="9">
        <f>IF(IF('Monthly P&amp;L, cash and runway'!S7-'Monthly P&amp;L, cash and runway'!R7&gt;0="",FALSE,'Monthly P&amp;L, cash and runway'!S7-'Monthly P&amp;L, cash and runway'!R7&gt;0),'Monthly P&amp;L, cash and runway'!S7-'Monthly P&amp;L, cash and runway'!R7,0)</f>
        <v>3</v>
      </c>
      <c r="T10" s="9">
        <f>IF(IF('Monthly P&amp;L, cash and runway'!T7-'Monthly P&amp;L, cash and runway'!S7&gt;0="",FALSE,'Monthly P&amp;L, cash and runway'!T7-'Monthly P&amp;L, cash and runway'!S7&gt;0),'Monthly P&amp;L, cash and runway'!T7-'Monthly P&amp;L, cash and runway'!S7,0)</f>
        <v>2</v>
      </c>
      <c r="U10" s="9">
        <f>IF(IF('Monthly P&amp;L, cash and runway'!U7-'Monthly P&amp;L, cash and runway'!T7&gt;0="",FALSE,'Monthly P&amp;L, cash and runway'!U7-'Monthly P&amp;L, cash and runway'!T7&gt;0),'Monthly P&amp;L, cash and runway'!U7-'Monthly P&amp;L, cash and runway'!T7,0)</f>
        <v>2</v>
      </c>
      <c r="V10" s="9">
        <f>IF(IF('Monthly P&amp;L, cash and runway'!V7-'Monthly P&amp;L, cash and runway'!U7&gt;0="",FALSE,'Monthly P&amp;L, cash and runway'!V7-'Monthly P&amp;L, cash and runway'!U7&gt;0),'Monthly P&amp;L, cash and runway'!V7-'Monthly P&amp;L, cash and runway'!U7,0)</f>
        <v>2</v>
      </c>
      <c r="W10" s="9">
        <f>IF(IF('Monthly P&amp;L, cash and runway'!W7-'Monthly P&amp;L, cash and runway'!V7&gt;0="",FALSE,'Monthly P&amp;L, cash and runway'!W7-'Monthly P&amp;L, cash and runway'!V7&gt;0),'Monthly P&amp;L, cash and runway'!W7-'Monthly P&amp;L, cash and runway'!V7,0)</f>
        <v>2</v>
      </c>
      <c r="X10" s="9">
        <f>IF(IF('Monthly P&amp;L, cash and runway'!X7-'Monthly P&amp;L, cash and runway'!W7&gt;0="",FALSE,'Monthly P&amp;L, cash and runway'!X7-'Monthly P&amp;L, cash and runway'!W7&gt;0),'Monthly P&amp;L, cash and runway'!X7-'Monthly P&amp;L, cash and runway'!W7,0)</f>
        <v>2</v>
      </c>
      <c r="Y10" s="9">
        <f>IF(IF('Monthly P&amp;L, cash and runway'!Y7-'Monthly P&amp;L, cash and runway'!X7&gt;0="",FALSE,'Monthly P&amp;L, cash and runway'!Y7-'Monthly P&amp;L, cash and runway'!X7&gt;0),'Monthly P&amp;L, cash and runway'!Y7-'Monthly P&amp;L, cash and runway'!X7,0)</f>
        <v>2</v>
      </c>
    </row>
    <row r="11" outlineLevel="1">
      <c r="A11" t="inlineStr" s="8">
        <is>
          <t xml:space="preserve">Team</t>
        </is>
      </c>
      <c r="B11" s="9">
        <f>IF(IF('Monthly P&amp;L, cash and runway'!B8-'Model inputs'!D18&gt;0="",FALSE,'Monthly P&amp;L, cash and runway'!B8-'Model inputs'!D18&gt;0),'Monthly P&amp;L, cash and runway'!B8-'Model inputs'!D18,0)</f>
        <v>0</v>
      </c>
      <c r="C11" s="9">
        <f>IF(IF('Monthly P&amp;L, cash and runway'!C8-'Monthly P&amp;L, cash and runway'!B8&gt;0="",FALSE,'Monthly P&amp;L, cash and runway'!C8-'Monthly P&amp;L, cash and runway'!B8&gt;0),'Monthly P&amp;L, cash and runway'!C8-'Monthly P&amp;L, cash and runway'!B8,0)</f>
        <v>0</v>
      </c>
      <c r="D11" s="9">
        <f>IF(IF('Monthly P&amp;L, cash and runway'!D8-'Monthly P&amp;L, cash and runway'!C8&gt;0="",FALSE,'Monthly P&amp;L, cash and runway'!D8-'Monthly P&amp;L, cash and runway'!C8&gt;0),'Monthly P&amp;L, cash and runway'!D8-'Monthly P&amp;L, cash and runway'!C8,0)</f>
        <v>0</v>
      </c>
      <c r="E11" s="9">
        <f>IF(IF('Monthly P&amp;L, cash and runway'!E8-'Monthly P&amp;L, cash and runway'!D8&gt;0="",FALSE,'Monthly P&amp;L, cash and runway'!E8-'Monthly P&amp;L, cash and runway'!D8&gt;0),'Monthly P&amp;L, cash and runway'!E8-'Monthly P&amp;L, cash and runway'!D8,0)</f>
        <v>0</v>
      </c>
      <c r="F11" s="9">
        <f>IF(IF('Monthly P&amp;L, cash and runway'!F8-'Monthly P&amp;L, cash and runway'!E8&gt;0="",FALSE,'Monthly P&amp;L, cash and runway'!F8-'Monthly P&amp;L, cash and runway'!E8&gt;0),'Monthly P&amp;L, cash and runway'!F8-'Monthly P&amp;L, cash and runway'!E8,0)</f>
        <v>1</v>
      </c>
      <c r="G11" s="9">
        <f>IF(IF('Monthly P&amp;L, cash and runway'!G8-'Monthly P&amp;L, cash and runway'!F8&gt;0="",FALSE,'Monthly P&amp;L, cash and runway'!G8-'Monthly P&amp;L, cash and runway'!F8&gt;0),'Monthly P&amp;L, cash and runway'!G8-'Monthly P&amp;L, cash and runway'!F8,0)</f>
        <v>0</v>
      </c>
      <c r="H11" s="9">
        <f>IF(IF('Monthly P&amp;L, cash and runway'!H8-'Monthly P&amp;L, cash and runway'!G8&gt;0="",FALSE,'Monthly P&amp;L, cash and runway'!H8-'Monthly P&amp;L, cash and runway'!G8&gt;0),'Monthly P&amp;L, cash and runway'!H8-'Monthly P&amp;L, cash and runway'!G8,0)</f>
        <v>0</v>
      </c>
      <c r="I11" s="9">
        <f>IF(IF('Monthly P&amp;L, cash and runway'!I8-'Monthly P&amp;L, cash and runway'!H8&gt;0="",FALSE,'Monthly P&amp;L, cash and runway'!I8-'Monthly P&amp;L, cash and runway'!H8&gt;0),'Monthly P&amp;L, cash and runway'!I8-'Monthly P&amp;L, cash and runway'!H8,0)</f>
        <v>1</v>
      </c>
      <c r="J11" s="9">
        <f>IF(IF('Monthly P&amp;L, cash and runway'!J8-'Monthly P&amp;L, cash and runway'!I8&gt;0="",FALSE,'Monthly P&amp;L, cash and runway'!J8-'Monthly P&amp;L, cash and runway'!I8&gt;0),'Monthly P&amp;L, cash and runway'!J8-'Monthly P&amp;L, cash and runway'!I8,0)</f>
        <v>0</v>
      </c>
      <c r="K11" s="9">
        <f>IF(IF('Monthly P&amp;L, cash and runway'!K8-'Monthly P&amp;L, cash and runway'!J8&gt;0="",FALSE,'Monthly P&amp;L, cash and runway'!K8-'Monthly P&amp;L, cash and runway'!J8&gt;0),'Monthly P&amp;L, cash and runway'!K8-'Monthly P&amp;L, cash and runway'!J8,0)</f>
        <v>0</v>
      </c>
      <c r="L11" s="9">
        <f>IF(IF('Monthly P&amp;L, cash and runway'!L8-'Monthly P&amp;L, cash and runway'!K8&gt;0="",FALSE,'Monthly P&amp;L, cash and runway'!L8-'Monthly P&amp;L, cash and runway'!K8&gt;0),'Monthly P&amp;L, cash and runway'!L8-'Monthly P&amp;L, cash and runway'!K8,0)</f>
        <v>1</v>
      </c>
      <c r="M11" s="9">
        <f>IF(IF('Monthly P&amp;L, cash and runway'!M8-'Monthly P&amp;L, cash and runway'!L8&gt;0="",FALSE,'Monthly P&amp;L, cash and runway'!M8-'Monthly P&amp;L, cash and runway'!L8&gt;0),'Monthly P&amp;L, cash and runway'!M8-'Monthly P&amp;L, cash and runway'!L8,0)</f>
        <v>0</v>
      </c>
      <c r="N11" s="9">
        <f>IF(IF('Monthly P&amp;L, cash and runway'!N8-'Monthly P&amp;L, cash and runway'!M8&gt;0="",FALSE,'Monthly P&amp;L, cash and runway'!N8-'Monthly P&amp;L, cash and runway'!M8&gt;0),'Monthly P&amp;L, cash and runway'!N8-'Monthly P&amp;L, cash and runway'!M8,0)</f>
        <v>1</v>
      </c>
      <c r="O11" s="9">
        <f>IF(IF('Monthly P&amp;L, cash and runway'!O8-'Monthly P&amp;L, cash and runway'!N8&gt;0="",FALSE,'Monthly P&amp;L, cash and runway'!O8-'Monthly P&amp;L, cash and runway'!N8&gt;0),'Monthly P&amp;L, cash and runway'!O8-'Monthly P&amp;L, cash and runway'!N8,0)</f>
        <v>0</v>
      </c>
      <c r="P11" s="9">
        <f>IF(IF('Monthly P&amp;L, cash and runway'!P8-'Monthly P&amp;L, cash and runway'!O8&gt;0="",FALSE,'Monthly P&amp;L, cash and runway'!P8-'Monthly P&amp;L, cash and runway'!O8&gt;0),'Monthly P&amp;L, cash and runway'!P8-'Monthly P&amp;L, cash and runway'!O8,0)</f>
        <v>1</v>
      </c>
      <c r="Q11" s="9">
        <f>IF(IF('Monthly P&amp;L, cash and runway'!Q8-'Monthly P&amp;L, cash and runway'!P8&gt;0="",FALSE,'Monthly P&amp;L, cash and runway'!Q8-'Monthly P&amp;L, cash and runway'!P8&gt;0),'Monthly P&amp;L, cash and runway'!Q8-'Monthly P&amp;L, cash and runway'!P8,0)</f>
        <v>0</v>
      </c>
      <c r="R11" s="9">
        <f>IF(IF('Monthly P&amp;L, cash and runway'!R8-'Monthly P&amp;L, cash and runway'!Q8&gt;0="",FALSE,'Monthly P&amp;L, cash and runway'!R8-'Monthly P&amp;L, cash and runway'!Q8&gt;0),'Monthly P&amp;L, cash and runway'!R8-'Monthly P&amp;L, cash and runway'!Q8,0)</f>
        <v>1</v>
      </c>
      <c r="S11" s="9">
        <f>IF(IF('Monthly P&amp;L, cash and runway'!S8-'Monthly P&amp;L, cash and runway'!R8&gt;0="",FALSE,'Monthly P&amp;L, cash and runway'!S8-'Monthly P&amp;L, cash and runway'!R8&gt;0),'Monthly P&amp;L, cash and runway'!S8-'Monthly P&amp;L, cash and runway'!R8,0)</f>
        <v>1</v>
      </c>
      <c r="T11" s="9">
        <f>IF(IF('Monthly P&amp;L, cash and runway'!T8-'Monthly P&amp;L, cash and runway'!S8&gt;0="",FALSE,'Monthly P&amp;L, cash and runway'!T8-'Monthly P&amp;L, cash and runway'!S8&gt;0),'Monthly P&amp;L, cash and runway'!T8-'Monthly P&amp;L, cash and runway'!S8,0)</f>
        <v>0</v>
      </c>
      <c r="U11" s="9">
        <f>IF(IF('Monthly P&amp;L, cash and runway'!U8-'Monthly P&amp;L, cash and runway'!T8&gt;0="",FALSE,'Monthly P&amp;L, cash and runway'!U8-'Monthly P&amp;L, cash and runway'!T8&gt;0),'Monthly P&amp;L, cash and runway'!U8-'Monthly P&amp;L, cash and runway'!T8,0)</f>
        <v>1</v>
      </c>
      <c r="V11" s="9">
        <f>IF(IF('Monthly P&amp;L, cash and runway'!V8-'Monthly P&amp;L, cash and runway'!U8&gt;0="",FALSE,'Monthly P&amp;L, cash and runway'!V8-'Monthly P&amp;L, cash and runway'!U8&gt;0),'Monthly P&amp;L, cash and runway'!V8-'Monthly P&amp;L, cash and runway'!U8,0)</f>
        <v>0</v>
      </c>
      <c r="W11" s="9">
        <f>IF(IF('Monthly P&amp;L, cash and runway'!W8-'Monthly P&amp;L, cash and runway'!V8&gt;0="",FALSE,'Monthly P&amp;L, cash and runway'!W8-'Monthly P&amp;L, cash and runway'!V8&gt;0),'Monthly P&amp;L, cash and runway'!W8-'Monthly P&amp;L, cash and runway'!V8,0)</f>
        <v>1</v>
      </c>
      <c r="X11" s="9">
        <f>IF(IF('Monthly P&amp;L, cash and runway'!X8-'Monthly P&amp;L, cash and runway'!W8&gt;0="",FALSE,'Monthly P&amp;L, cash and runway'!X8-'Monthly P&amp;L, cash and runway'!W8&gt;0),'Monthly P&amp;L, cash and runway'!X8-'Monthly P&amp;L, cash and runway'!W8,0)</f>
        <v>0</v>
      </c>
      <c r="Y11" s="9">
        <f>IF(IF('Monthly P&amp;L, cash and runway'!Y8-'Monthly P&amp;L, cash and runway'!X8&gt;0="",FALSE,'Monthly P&amp;L, cash and runway'!Y8-'Monthly P&amp;L, cash and runway'!X8&gt;0),'Monthly P&amp;L, cash and runway'!Y8-'Monthly P&amp;L, cash and runway'!X8,0)</f>
        <v>1</v>
      </c>
    </row>
    <row r="12">
      <c r="A12" t="inlineStr" s="10">
        <is>
          <t xml:space="preserve">Onboarding hours</t>
        </is>
      </c>
      <c r="B12" s="9">
        <f>'Monthly P&amp;L, cash and runway'!B9*'Model inputs'!B34</f>
        <v>0</v>
      </c>
      <c r="C12" s="9">
        <f>'Monthly P&amp;L, cash and runway'!C9*'Model inputs'!B34</f>
        <v>0</v>
      </c>
      <c r="D12" s="9">
        <f>'Monthly P&amp;L, cash and runway'!D9*'Model inputs'!B34</f>
        <v>0</v>
      </c>
      <c r="E12" s="9">
        <f>'Monthly P&amp;L, cash and runway'!E9*'Model inputs'!B34</f>
        <v>4</v>
      </c>
      <c r="F12" s="9">
        <f>'Monthly P&amp;L, cash and runway'!F9*'Model inputs'!B34</f>
        <v>4</v>
      </c>
      <c r="G12" s="9">
        <f>'Monthly P&amp;L, cash and runway'!G9*'Model inputs'!B34</f>
        <v>4</v>
      </c>
      <c r="H12" s="9">
        <f>'Monthly P&amp;L, cash and runway'!H9*'Model inputs'!B34</f>
        <v>4</v>
      </c>
      <c r="I12" s="9">
        <f>'Monthly P&amp;L, cash and runway'!I9*'Model inputs'!B34</f>
        <v>4</v>
      </c>
      <c r="J12" s="9">
        <f>'Monthly P&amp;L, cash and runway'!J9*'Model inputs'!B34</f>
        <v>4</v>
      </c>
      <c r="K12" s="9">
        <f>'Monthly P&amp;L, cash and runway'!K9*'Model inputs'!B34</f>
        <v>4</v>
      </c>
      <c r="L12" s="9">
        <f>'Monthly P&amp;L, cash and runway'!L9*'Model inputs'!B34</f>
        <v>4</v>
      </c>
      <c r="M12" s="9">
        <f>'Monthly P&amp;L, cash and runway'!M9*'Model inputs'!B34</f>
        <v>4</v>
      </c>
      <c r="N12" s="9">
        <f>'Monthly P&amp;L, cash and runway'!N9*'Model inputs'!B34</f>
        <v>6</v>
      </c>
      <c r="O12" s="9">
        <f>'Monthly P&amp;L, cash and runway'!O9*'Model inputs'!B34</f>
        <v>4</v>
      </c>
      <c r="P12" s="9">
        <f>'Monthly P&amp;L, cash and runway'!P9*'Model inputs'!B34</f>
        <v>6</v>
      </c>
      <c r="Q12" s="9">
        <f>'Monthly P&amp;L, cash and runway'!Q9*'Model inputs'!B34</f>
        <v>4</v>
      </c>
      <c r="R12" s="9">
        <f>'Monthly P&amp;L, cash and runway'!R9*'Model inputs'!B34</f>
        <v>6</v>
      </c>
      <c r="S12" s="9">
        <f>'Monthly P&amp;L, cash and runway'!S9*'Model inputs'!B34</f>
        <v>8</v>
      </c>
      <c r="T12" s="9">
        <f>'Monthly P&amp;L, cash and runway'!T9*'Model inputs'!B34</f>
        <v>4</v>
      </c>
      <c r="U12" s="9">
        <f>'Monthly P&amp;L, cash and runway'!U9*'Model inputs'!B34</f>
        <v>6</v>
      </c>
      <c r="V12" s="9">
        <f>'Monthly P&amp;L, cash and runway'!V9*'Model inputs'!B34</f>
        <v>4</v>
      </c>
      <c r="W12" s="9">
        <f>'Monthly P&amp;L, cash and runway'!W9*'Model inputs'!B34</f>
        <v>6</v>
      </c>
      <c r="X12" s="9">
        <f>'Monthly P&amp;L, cash and runway'!X9*'Model inputs'!B34</f>
        <v>4</v>
      </c>
      <c r="Y12" s="9">
        <f>'Monthly P&amp;L, cash and runway'!Y9*'Model inputs'!B34</f>
        <v>6</v>
      </c>
    </row>
    <row r="13">
      <c r="A13" t="inlineStr" s="6">
        <is>
          <t xml:space="preserve">Analysis runs</t>
        </is>
      </c>
      <c r="B13" s="7">
        <f>SUM('Monthly P&amp;L, cash and runway'!B14,'Monthly P&amp;L, cash and runway'!B15)</f>
        <v>0</v>
      </c>
      <c r="C13" s="7">
        <f>SUM('Monthly P&amp;L, cash and runway'!C14,'Monthly P&amp;L, cash and runway'!C15)</f>
        <v>0</v>
      </c>
      <c r="D13" s="7">
        <f>SUM('Monthly P&amp;L, cash and runway'!D14,'Monthly P&amp;L, cash and runway'!D15)</f>
        <v>0</v>
      </c>
      <c r="E13" s="7">
        <f>SUM('Monthly P&amp;L, cash and runway'!E14,'Monthly P&amp;L, cash and runway'!E15)</f>
        <v>16</v>
      </c>
      <c r="F13" s="7">
        <f>SUM('Monthly P&amp;L, cash and runway'!F14,'Monthly P&amp;L, cash and runway'!F15)</f>
        <v>64</v>
      </c>
      <c r="G13" s="7">
        <f>SUM('Monthly P&amp;L, cash and runway'!G14,'Monthly P&amp;L, cash and runway'!G15)</f>
        <v>80</v>
      </c>
      <c r="H13" s="7">
        <f>SUM('Monthly P&amp;L, cash and runway'!H14,'Monthly P&amp;L, cash and runway'!H15)</f>
        <v>96</v>
      </c>
      <c r="I13" s="7">
        <f>SUM('Monthly P&amp;L, cash and runway'!I14,'Monthly P&amp;L, cash and runway'!I15)</f>
        <v>144</v>
      </c>
      <c r="J13" s="7">
        <f>SUM('Monthly P&amp;L, cash and runway'!J14,'Monthly P&amp;L, cash and runway'!J15)</f>
        <v>160</v>
      </c>
      <c r="K13" s="7">
        <f>SUM('Monthly P&amp;L, cash and runway'!K14,'Monthly P&amp;L, cash and runway'!K15)</f>
        <v>176</v>
      </c>
      <c r="L13" s="7">
        <f>SUM('Monthly P&amp;L, cash and runway'!L14,'Monthly P&amp;L, cash and runway'!L15)</f>
        <v>224</v>
      </c>
      <c r="M13" s="7">
        <f>SUM('Monthly P&amp;L, cash and runway'!M14,'Monthly P&amp;L, cash and runway'!M15)</f>
        <v>240</v>
      </c>
      <c r="N13" s="7">
        <f>SUM('Monthly P&amp;L, cash and runway'!N14,'Monthly P&amp;L, cash and runway'!N15)</f>
        <v>296</v>
      </c>
      <c r="O13" s="7">
        <f>SUM('Monthly P&amp;L, cash and runway'!O14,'Monthly P&amp;L, cash and runway'!O15)</f>
        <v>312</v>
      </c>
      <c r="P13" s="7">
        <f>SUM('Monthly P&amp;L, cash and runway'!P14,'Monthly P&amp;L, cash and runway'!P15)</f>
        <v>368</v>
      </c>
      <c r="Q13" s="7">
        <f>SUM('Monthly P&amp;L, cash and runway'!Q14,'Monthly P&amp;L, cash and runway'!Q15)</f>
        <v>384</v>
      </c>
      <c r="R13" s="7">
        <f>SUM('Monthly P&amp;L, cash and runway'!R14,'Monthly P&amp;L, cash and runway'!R15)</f>
        <v>440</v>
      </c>
      <c r="S13" s="7">
        <f>SUM('Monthly P&amp;L, cash and runway'!S14,'Monthly P&amp;L, cash and runway'!S15)</f>
        <v>504</v>
      </c>
      <c r="T13" s="7">
        <f>SUM('Monthly P&amp;L, cash and runway'!T14,'Monthly P&amp;L, cash and runway'!T15)</f>
        <v>520</v>
      </c>
      <c r="U13" s="7">
        <f>SUM('Monthly P&amp;L, cash and runway'!U14,'Monthly P&amp;L, cash and runway'!U15)</f>
        <v>576</v>
      </c>
      <c r="V13" s="7">
        <f>SUM('Monthly P&amp;L, cash and runway'!V14,'Monthly P&amp;L, cash and runway'!V15)</f>
        <v>592</v>
      </c>
      <c r="W13" s="7">
        <f>SUM('Monthly P&amp;L, cash and runway'!W14,'Monthly P&amp;L, cash and runway'!W15)</f>
        <v>648</v>
      </c>
      <c r="X13" s="7">
        <f>SUM('Monthly P&amp;L, cash and runway'!X14,'Monthly P&amp;L, cash and runway'!X15)</f>
        <v>664</v>
      </c>
      <c r="Y13" s="7">
        <f>SUM('Monthly P&amp;L, cash and runway'!Y14,'Monthly P&amp;L, cash and runway'!Y15)</f>
        <v>720</v>
      </c>
    </row>
    <row r="14" outlineLevel="1">
      <c r="A14" t="inlineStr" s="8">
        <is>
          <t xml:space="preserve">Starter</t>
        </is>
      </c>
      <c r="B14" s="9">
        <f>'Monthly P&amp;L, cash and runway'!B7*'Model inputs'!B26*'Model inputs'!B6</f>
        <v>0</v>
      </c>
      <c r="C14" s="9">
        <f>'Monthly P&amp;L, cash and runway'!C7*'Model inputs'!B26*'Model inputs'!B6</f>
        <v>0</v>
      </c>
      <c r="D14" s="9">
        <f>'Monthly P&amp;L, cash and runway'!D7*'Model inputs'!B26*'Model inputs'!B6</f>
        <v>0</v>
      </c>
      <c r="E14" s="9">
        <f>'Monthly P&amp;L, cash and runway'!E7*'Model inputs'!B26*'Model inputs'!B6</f>
        <v>16</v>
      </c>
      <c r="F14" s="9">
        <f>'Monthly P&amp;L, cash and runway'!F7*'Model inputs'!B26*'Model inputs'!B6</f>
        <v>24</v>
      </c>
      <c r="G14" s="9">
        <f>'Monthly P&amp;L, cash and runway'!G7*'Model inputs'!B26*'Model inputs'!B6</f>
        <v>40</v>
      </c>
      <c r="H14" s="9">
        <f>'Monthly P&amp;L, cash and runway'!H7*'Model inputs'!B26*'Model inputs'!B6</f>
        <v>56</v>
      </c>
      <c r="I14" s="9">
        <f>'Monthly P&amp;L, cash and runway'!I7*'Model inputs'!B26*'Model inputs'!B6</f>
        <v>64</v>
      </c>
      <c r="J14" s="9">
        <f>'Monthly P&amp;L, cash and runway'!J7*'Model inputs'!B26*'Model inputs'!B6</f>
        <v>80</v>
      </c>
      <c r="K14" s="9">
        <f>'Monthly P&amp;L, cash and runway'!K7*'Model inputs'!B26*'Model inputs'!B6</f>
        <v>96</v>
      </c>
      <c r="L14" s="9">
        <f>'Monthly P&amp;L, cash and runway'!L7*'Model inputs'!B26*'Model inputs'!B6</f>
        <v>104</v>
      </c>
      <c r="M14" s="9">
        <f>'Monthly P&amp;L, cash and runway'!M7*'Model inputs'!B26*'Model inputs'!B6</f>
        <v>120</v>
      </c>
      <c r="N14" s="9">
        <f>'Monthly P&amp;L, cash and runway'!N7*'Model inputs'!B26*'Model inputs'!B6</f>
        <v>136</v>
      </c>
      <c r="O14" s="9">
        <f>'Monthly P&amp;L, cash and runway'!O7*'Model inputs'!B26*'Model inputs'!B6</f>
        <v>152</v>
      </c>
      <c r="P14" s="9">
        <f>'Monthly P&amp;L, cash and runway'!P7*'Model inputs'!B26*'Model inputs'!B6</f>
        <v>168</v>
      </c>
      <c r="Q14" s="9">
        <f>'Monthly P&amp;L, cash and runway'!Q7*'Model inputs'!B26*'Model inputs'!B6</f>
        <v>184</v>
      </c>
      <c r="R14" s="9">
        <f>'Monthly P&amp;L, cash and runway'!R7*'Model inputs'!B26*'Model inputs'!B6</f>
        <v>200</v>
      </c>
      <c r="S14" s="9">
        <f>'Monthly P&amp;L, cash and runway'!S7*'Model inputs'!B26*'Model inputs'!B6</f>
        <v>224</v>
      </c>
      <c r="T14" s="9">
        <f>'Monthly P&amp;L, cash and runway'!T7*'Model inputs'!B26*'Model inputs'!B6</f>
        <v>240</v>
      </c>
      <c r="U14" s="9">
        <f>'Monthly P&amp;L, cash and runway'!U7*'Model inputs'!B26*'Model inputs'!B6</f>
        <v>256</v>
      </c>
      <c r="V14" s="9">
        <f>'Monthly P&amp;L, cash and runway'!V7*'Model inputs'!B26*'Model inputs'!B6</f>
        <v>272</v>
      </c>
      <c r="W14" s="9">
        <f>'Monthly P&amp;L, cash and runway'!W7*'Model inputs'!B26*'Model inputs'!B6</f>
        <v>288</v>
      </c>
      <c r="X14" s="9">
        <f>'Monthly P&amp;L, cash and runway'!X7*'Model inputs'!B26*'Model inputs'!B6</f>
        <v>304</v>
      </c>
      <c r="Y14" s="9">
        <f>'Monthly P&amp;L, cash and runway'!Y7*'Model inputs'!B26*'Model inputs'!B6</f>
        <v>320</v>
      </c>
    </row>
    <row r="15" outlineLevel="1">
      <c r="A15" t="inlineStr" s="8">
        <is>
          <t xml:space="preserve">Team</t>
        </is>
      </c>
      <c r="B15" s="9">
        <f>'Monthly P&amp;L, cash and runway'!B8*'Model inputs'!B27*'Model inputs'!B6</f>
        <v>0</v>
      </c>
      <c r="C15" s="9">
        <f>'Monthly P&amp;L, cash and runway'!C8*'Model inputs'!B27*'Model inputs'!B6</f>
        <v>0</v>
      </c>
      <c r="D15" s="9">
        <f>'Monthly P&amp;L, cash and runway'!D8*'Model inputs'!B27*'Model inputs'!B6</f>
        <v>0</v>
      </c>
      <c r="E15" s="9">
        <f>'Monthly P&amp;L, cash and runway'!E8*'Model inputs'!B27*'Model inputs'!B6</f>
        <v>0</v>
      </c>
      <c r="F15" s="9">
        <f>'Monthly P&amp;L, cash and runway'!F8*'Model inputs'!B27*'Model inputs'!B6</f>
        <v>40</v>
      </c>
      <c r="G15" s="9">
        <f>'Monthly P&amp;L, cash and runway'!G8*'Model inputs'!B27*'Model inputs'!B6</f>
        <v>40</v>
      </c>
      <c r="H15" s="9">
        <f>'Monthly P&amp;L, cash and runway'!H8*'Model inputs'!B27*'Model inputs'!B6</f>
        <v>40</v>
      </c>
      <c r="I15" s="9">
        <f>'Monthly P&amp;L, cash and runway'!I8*'Model inputs'!B27*'Model inputs'!B6</f>
        <v>80</v>
      </c>
      <c r="J15" s="9">
        <f>'Monthly P&amp;L, cash and runway'!J8*'Model inputs'!B27*'Model inputs'!B6</f>
        <v>80</v>
      </c>
      <c r="K15" s="9">
        <f>'Monthly P&amp;L, cash and runway'!K8*'Model inputs'!B27*'Model inputs'!B6</f>
        <v>80</v>
      </c>
      <c r="L15" s="9">
        <f>'Monthly P&amp;L, cash and runway'!L8*'Model inputs'!B27*'Model inputs'!B6</f>
        <v>120</v>
      </c>
      <c r="M15" s="9">
        <f>'Monthly P&amp;L, cash and runway'!M8*'Model inputs'!B27*'Model inputs'!B6</f>
        <v>120</v>
      </c>
      <c r="N15" s="9">
        <f>'Monthly P&amp;L, cash and runway'!N8*'Model inputs'!B27*'Model inputs'!B6</f>
        <v>160</v>
      </c>
      <c r="O15" s="9">
        <f>'Monthly P&amp;L, cash and runway'!O8*'Model inputs'!B27*'Model inputs'!B6</f>
        <v>160</v>
      </c>
      <c r="P15" s="9">
        <f>'Monthly P&amp;L, cash and runway'!P8*'Model inputs'!B27*'Model inputs'!B6</f>
        <v>200</v>
      </c>
      <c r="Q15" s="9">
        <f>'Monthly P&amp;L, cash and runway'!Q8*'Model inputs'!B27*'Model inputs'!B6</f>
        <v>200</v>
      </c>
      <c r="R15" s="9">
        <f>'Monthly P&amp;L, cash and runway'!R8*'Model inputs'!B27*'Model inputs'!B6</f>
        <v>240</v>
      </c>
      <c r="S15" s="9">
        <f>'Monthly P&amp;L, cash and runway'!S8*'Model inputs'!B27*'Model inputs'!B6</f>
        <v>280</v>
      </c>
      <c r="T15" s="9">
        <f>'Monthly P&amp;L, cash and runway'!T8*'Model inputs'!B27*'Model inputs'!B6</f>
        <v>280</v>
      </c>
      <c r="U15" s="9">
        <f>'Monthly P&amp;L, cash and runway'!U8*'Model inputs'!B27*'Model inputs'!B6</f>
        <v>320</v>
      </c>
      <c r="V15" s="9">
        <f>'Monthly P&amp;L, cash and runway'!V8*'Model inputs'!B27*'Model inputs'!B6</f>
        <v>320</v>
      </c>
      <c r="W15" s="9">
        <f>'Monthly P&amp;L, cash and runway'!W8*'Model inputs'!B27*'Model inputs'!B6</f>
        <v>360</v>
      </c>
      <c r="X15" s="9">
        <f>'Monthly P&amp;L, cash and runway'!X8*'Model inputs'!B27*'Model inputs'!B6</f>
        <v>360</v>
      </c>
      <c r="Y15" s="9">
        <f>'Monthly P&amp;L, cash and runway'!Y8*'Model inputs'!B27*'Model inputs'!B6</f>
        <v>400</v>
      </c>
    </row>
    <row r="16">
      <c r="A16" t="inlineStr" s="6">
        <is>
          <t xml:space="preserve">Revenue</t>
        </is>
      </c>
      <c r="B16" s="11">
        <f>SUM('Monthly P&amp;L, cash and runway'!B17,'Monthly P&amp;L, cash and runway'!B18)</f>
        <v>0</v>
      </c>
      <c r="C16" s="11">
        <f>SUM('Monthly P&amp;L, cash and runway'!C17,'Monthly P&amp;L, cash and runway'!C18)</f>
        <v>0</v>
      </c>
      <c r="D16" s="11">
        <f>SUM('Monthly P&amp;L, cash and runway'!D17,'Monthly P&amp;L, cash and runway'!D18)</f>
        <v>0</v>
      </c>
      <c r="E16" s="11">
        <f>SUM('Monthly P&amp;L, cash and runway'!E17,'Monthly P&amp;L, cash and runway'!E18)</f>
        <v>198</v>
      </c>
      <c r="F16" s="11">
        <f>SUM('Monthly P&amp;L, cash and runway'!F17,'Monthly P&amp;L, cash and runway'!F18)</f>
        <v>696</v>
      </c>
      <c r="G16" s="11">
        <f>SUM('Monthly P&amp;L, cash and runway'!G17,'Monthly P&amp;L, cash and runway'!G18)</f>
        <v>894</v>
      </c>
      <c r="H16" s="11">
        <f>SUM('Monthly P&amp;L, cash and runway'!H17,'Monthly P&amp;L, cash and runway'!H18)</f>
        <v>1092</v>
      </c>
      <c r="I16" s="11">
        <f>SUM('Monthly P&amp;L, cash and runway'!I17,'Monthly P&amp;L, cash and runway'!I18)</f>
        <v>1590</v>
      </c>
      <c r="J16" s="11">
        <f>SUM('Monthly P&amp;L, cash and runway'!J17,'Monthly P&amp;L, cash and runway'!J18)</f>
        <v>1788</v>
      </c>
      <c r="K16" s="11">
        <f>SUM('Monthly P&amp;L, cash and runway'!K17,'Monthly P&amp;L, cash and runway'!K18)</f>
        <v>1986</v>
      </c>
      <c r="L16" s="11">
        <f>SUM('Monthly P&amp;L, cash and runway'!L17,'Monthly P&amp;L, cash and runway'!L18)</f>
        <v>2484</v>
      </c>
      <c r="M16" s="11">
        <f>SUM('Monthly P&amp;L, cash and runway'!M17,'Monthly P&amp;L, cash and runway'!M18)</f>
        <v>2682</v>
      </c>
      <c r="N16" s="11">
        <f>SUM('Monthly P&amp;L, cash and runway'!N17,'Monthly P&amp;L, cash and runway'!N18)</f>
        <v>3279</v>
      </c>
      <c r="O16" s="11">
        <f>SUM('Monthly P&amp;L, cash and runway'!O17,'Monthly P&amp;L, cash and runway'!O18)</f>
        <v>3477</v>
      </c>
      <c r="P16" s="11">
        <f>SUM('Monthly P&amp;L, cash and runway'!P17,'Monthly P&amp;L, cash and runway'!P18)</f>
        <v>4074</v>
      </c>
      <c r="Q16" s="11">
        <f>SUM('Monthly P&amp;L, cash and runway'!Q17,'Monthly P&amp;L, cash and runway'!Q18)</f>
        <v>4272</v>
      </c>
      <c r="R16" s="11">
        <f>SUM('Monthly P&amp;L, cash and runway'!R17,'Monthly P&amp;L, cash and runway'!R18)</f>
        <v>4869</v>
      </c>
      <c r="S16" s="11">
        <f>SUM('Monthly P&amp;L, cash and runway'!S17,'Monthly P&amp;L, cash and runway'!S18)</f>
        <v>5565</v>
      </c>
      <c r="T16" s="11">
        <f>SUM('Monthly P&amp;L, cash and runway'!T17,'Monthly P&amp;L, cash and runway'!T18)</f>
        <v>5763</v>
      </c>
      <c r="U16" s="11">
        <f>SUM('Monthly P&amp;L, cash and runway'!U17,'Monthly P&amp;L, cash and runway'!U18)</f>
        <v>6360</v>
      </c>
      <c r="V16" s="11">
        <f>SUM('Monthly P&amp;L, cash and runway'!V17,'Monthly P&amp;L, cash and runway'!V18)</f>
        <v>6558</v>
      </c>
      <c r="W16" s="11">
        <f>SUM('Monthly P&amp;L, cash and runway'!W17,'Monthly P&amp;L, cash and runway'!W18)</f>
        <v>7155</v>
      </c>
      <c r="X16" s="11">
        <f>SUM('Monthly P&amp;L, cash and runway'!X17,'Monthly P&amp;L, cash and runway'!X18)</f>
        <v>7353</v>
      </c>
      <c r="Y16" s="11">
        <f>SUM('Monthly P&amp;L, cash and runway'!Y17,'Monthly P&amp;L, cash and runway'!Y18)</f>
        <v>7950</v>
      </c>
    </row>
    <row r="17" outlineLevel="1">
      <c r="A17" t="inlineStr" s="8">
        <is>
          <t xml:space="preserve">Starter</t>
        </is>
      </c>
      <c r="B17" s="12">
        <f>'Monthly P&amp;L, cash and runway'!B7*'Model inputs'!B37</f>
        <v>0</v>
      </c>
      <c r="C17" s="12">
        <f>'Monthly P&amp;L, cash and runway'!C7*'Model inputs'!B37</f>
        <v>0</v>
      </c>
      <c r="D17" s="12">
        <f>'Monthly P&amp;L, cash and runway'!D7*'Model inputs'!B37</f>
        <v>0</v>
      </c>
      <c r="E17" s="12">
        <f>'Monthly P&amp;L, cash and runway'!E7*'Model inputs'!B37</f>
        <v>198</v>
      </c>
      <c r="F17" s="12">
        <f>'Monthly P&amp;L, cash and runway'!F7*'Model inputs'!B37</f>
        <v>297</v>
      </c>
      <c r="G17" s="12">
        <f>'Monthly P&amp;L, cash and runway'!G7*'Model inputs'!B37</f>
        <v>495</v>
      </c>
      <c r="H17" s="12">
        <f>'Monthly P&amp;L, cash and runway'!H7*'Model inputs'!B37</f>
        <v>693</v>
      </c>
      <c r="I17" s="12">
        <f>'Monthly P&amp;L, cash and runway'!I7*'Model inputs'!B37</f>
        <v>792</v>
      </c>
      <c r="J17" s="12">
        <f>'Monthly P&amp;L, cash and runway'!J7*'Model inputs'!B37</f>
        <v>990</v>
      </c>
      <c r="K17" s="12">
        <f>'Monthly P&amp;L, cash and runway'!K7*'Model inputs'!B37</f>
        <v>1188</v>
      </c>
      <c r="L17" s="12">
        <f>'Monthly P&amp;L, cash and runway'!L7*'Model inputs'!B37</f>
        <v>1287</v>
      </c>
      <c r="M17" s="12">
        <f>'Monthly P&amp;L, cash and runway'!M7*'Model inputs'!B37</f>
        <v>1485</v>
      </c>
      <c r="N17" s="12">
        <f>'Monthly P&amp;L, cash and runway'!N7*'Model inputs'!B37</f>
        <v>1683</v>
      </c>
      <c r="O17" s="12">
        <f>'Monthly P&amp;L, cash and runway'!O7*'Model inputs'!B37</f>
        <v>1881</v>
      </c>
      <c r="P17" s="12">
        <f>'Monthly P&amp;L, cash and runway'!P7*'Model inputs'!B37</f>
        <v>2079</v>
      </c>
      <c r="Q17" s="12">
        <f>'Monthly P&amp;L, cash and runway'!Q7*'Model inputs'!B37</f>
        <v>2277</v>
      </c>
      <c r="R17" s="12">
        <f>'Monthly P&amp;L, cash and runway'!R7*'Model inputs'!B37</f>
        <v>2475</v>
      </c>
      <c r="S17" s="12">
        <f>'Monthly P&amp;L, cash and runway'!S7*'Model inputs'!B37</f>
        <v>2772</v>
      </c>
      <c r="T17" s="12">
        <f>'Monthly P&amp;L, cash and runway'!T7*'Model inputs'!B37</f>
        <v>2970</v>
      </c>
      <c r="U17" s="12">
        <f>'Monthly P&amp;L, cash and runway'!U7*'Model inputs'!B37</f>
        <v>3168</v>
      </c>
      <c r="V17" s="12">
        <f>'Monthly P&amp;L, cash and runway'!V7*'Model inputs'!B37</f>
        <v>3366</v>
      </c>
      <c r="W17" s="12">
        <f>'Monthly P&amp;L, cash and runway'!W7*'Model inputs'!B37</f>
        <v>3564</v>
      </c>
      <c r="X17" s="12">
        <f>'Monthly P&amp;L, cash and runway'!X7*'Model inputs'!B37</f>
        <v>3762</v>
      </c>
      <c r="Y17" s="12">
        <f>'Monthly P&amp;L, cash and runway'!Y7*'Model inputs'!B37</f>
        <v>3960</v>
      </c>
    </row>
    <row r="18" outlineLevel="1">
      <c r="A18" t="inlineStr" s="8">
        <is>
          <t xml:space="preserve">Team</t>
        </is>
      </c>
      <c r="B18" s="12">
        <f>'Monthly P&amp;L, cash and runway'!B8*'Model inputs'!B38</f>
        <v>0</v>
      </c>
      <c r="C18" s="12">
        <f>'Monthly P&amp;L, cash and runway'!C8*'Model inputs'!B38</f>
        <v>0</v>
      </c>
      <c r="D18" s="12">
        <f>'Monthly P&amp;L, cash and runway'!D8*'Model inputs'!B38</f>
        <v>0</v>
      </c>
      <c r="E18" s="12">
        <f>'Monthly P&amp;L, cash and runway'!E8*'Model inputs'!B38</f>
        <v>0</v>
      </c>
      <c r="F18" s="12">
        <f>'Monthly P&amp;L, cash and runway'!F8*'Model inputs'!B38</f>
        <v>399</v>
      </c>
      <c r="G18" s="12">
        <f>'Monthly P&amp;L, cash and runway'!G8*'Model inputs'!B38</f>
        <v>399</v>
      </c>
      <c r="H18" s="12">
        <f>'Monthly P&amp;L, cash and runway'!H8*'Model inputs'!B38</f>
        <v>399</v>
      </c>
      <c r="I18" s="12">
        <f>'Monthly P&amp;L, cash and runway'!I8*'Model inputs'!B38</f>
        <v>798</v>
      </c>
      <c r="J18" s="12">
        <f>'Monthly P&amp;L, cash and runway'!J8*'Model inputs'!B38</f>
        <v>798</v>
      </c>
      <c r="K18" s="12">
        <f>'Monthly P&amp;L, cash and runway'!K8*'Model inputs'!B38</f>
        <v>798</v>
      </c>
      <c r="L18" s="12">
        <f>'Monthly P&amp;L, cash and runway'!L8*'Model inputs'!B38</f>
        <v>1197</v>
      </c>
      <c r="M18" s="12">
        <f>'Monthly P&amp;L, cash and runway'!M8*'Model inputs'!B38</f>
        <v>1197</v>
      </c>
      <c r="N18" s="12">
        <f>'Monthly P&amp;L, cash and runway'!N8*'Model inputs'!B38</f>
        <v>1596</v>
      </c>
      <c r="O18" s="12">
        <f>'Monthly P&amp;L, cash and runway'!O8*'Model inputs'!B38</f>
        <v>1596</v>
      </c>
      <c r="P18" s="12">
        <f>'Monthly P&amp;L, cash and runway'!P8*'Model inputs'!B38</f>
        <v>1995</v>
      </c>
      <c r="Q18" s="12">
        <f>'Monthly P&amp;L, cash and runway'!Q8*'Model inputs'!B38</f>
        <v>1995</v>
      </c>
      <c r="R18" s="12">
        <f>'Monthly P&amp;L, cash and runway'!R8*'Model inputs'!B38</f>
        <v>2394</v>
      </c>
      <c r="S18" s="12">
        <f>'Monthly P&amp;L, cash and runway'!S8*'Model inputs'!B38</f>
        <v>2793</v>
      </c>
      <c r="T18" s="12">
        <f>'Monthly P&amp;L, cash and runway'!T8*'Model inputs'!B38</f>
        <v>2793</v>
      </c>
      <c r="U18" s="12">
        <f>'Monthly P&amp;L, cash and runway'!U8*'Model inputs'!B38</f>
        <v>3192</v>
      </c>
      <c r="V18" s="12">
        <f>'Monthly P&amp;L, cash and runway'!V8*'Model inputs'!B38</f>
        <v>3192</v>
      </c>
      <c r="W18" s="12">
        <f>'Monthly P&amp;L, cash and runway'!W8*'Model inputs'!B38</f>
        <v>3591</v>
      </c>
      <c r="X18" s="12">
        <f>'Monthly P&amp;L, cash and runway'!X8*'Model inputs'!B38</f>
        <v>3591</v>
      </c>
      <c r="Y18" s="12">
        <f>'Monthly P&amp;L, cash and runway'!Y8*'Model inputs'!B38</f>
        <v>3990</v>
      </c>
    </row>
    <row r="19">
      <c r="A19" t="inlineStr" s="6">
        <is>
          <t xml:space="preserve">LLM inference cost</t>
        </is>
      </c>
      <c r="B19" s="13">
        <f>SUM('Monthly P&amp;L, cash and runway'!B20,'Monthly P&amp;L, cash and runway'!B21)</f>
        <v>0</v>
      </c>
      <c r="C19" s="13">
        <f>SUM('Monthly P&amp;L, cash and runway'!C20,'Monthly P&amp;L, cash and runway'!C21)</f>
        <v>0</v>
      </c>
      <c r="D19" s="13">
        <f>SUM('Monthly P&amp;L, cash and runway'!D20,'Monthly P&amp;L, cash and runway'!D21)</f>
        <v>0</v>
      </c>
      <c r="E19" s="13">
        <f>SUM('Monthly P&amp;L, cash and runway'!E20,'Monthly P&amp;L, cash and runway'!E21)</f>
        <v>0.456</v>
      </c>
      <c r="F19" s="13">
        <f>SUM('Monthly P&amp;L, cash and runway'!F20,'Monthly P&amp;L, cash and runway'!F21)</f>
        <v>1.8240000000000003</v>
      </c>
      <c r="G19" s="13">
        <f>SUM('Monthly P&amp;L, cash and runway'!G20,'Monthly P&amp;L, cash and runway'!G21)</f>
        <v>2.2800000000000002</v>
      </c>
      <c r="H19" s="13">
        <f>SUM('Monthly P&amp;L, cash and runway'!H20,'Monthly P&amp;L, cash and runway'!H21)</f>
        <v>2.736</v>
      </c>
      <c r="I19" s="13">
        <f>SUM('Monthly P&amp;L, cash and runway'!I20,'Monthly P&amp;L, cash and runway'!I21)</f>
        <v>4.104</v>
      </c>
      <c r="J19" s="13">
        <f>SUM('Monthly P&amp;L, cash and runway'!J20,'Monthly P&amp;L, cash and runway'!J21)</f>
        <v>4.5600000000000005</v>
      </c>
      <c r="K19" s="13">
        <f>SUM('Monthly P&amp;L, cash and runway'!K20,'Monthly P&amp;L, cash and runway'!K21)</f>
        <v>5.016</v>
      </c>
      <c r="L19" s="13">
        <f>SUM('Monthly P&amp;L, cash and runway'!L20,'Monthly P&amp;L, cash and runway'!L21)</f>
        <v>6.384</v>
      </c>
      <c r="M19" s="13">
        <f>SUM('Monthly P&amp;L, cash and runway'!M20,'Monthly P&amp;L, cash and runway'!M21)</f>
        <v>6.84</v>
      </c>
      <c r="N19" s="13">
        <f>SUM('Monthly P&amp;L, cash and runway'!N20,'Monthly P&amp;L, cash and runway'!N21)</f>
        <v>8.436</v>
      </c>
      <c r="O19" s="13">
        <f>SUM('Monthly P&amp;L, cash and runway'!O20,'Monthly P&amp;L, cash and runway'!O21)</f>
        <v>8.892</v>
      </c>
      <c r="P19" s="13">
        <f>SUM('Monthly P&amp;L, cash and runway'!P20,'Monthly P&amp;L, cash and runway'!P21)</f>
        <v>10.488</v>
      </c>
      <c r="Q19" s="13">
        <f>SUM('Monthly P&amp;L, cash and runway'!Q20,'Monthly P&amp;L, cash and runway'!Q21)</f>
        <v>10.943999999999999</v>
      </c>
      <c r="R19" s="13">
        <f>SUM('Monthly P&amp;L, cash and runway'!R20,'Monthly P&amp;L, cash and runway'!R21)</f>
        <v>12.54</v>
      </c>
      <c r="S19" s="13">
        <f>SUM('Monthly P&amp;L, cash and runway'!S20,'Monthly P&amp;L, cash and runway'!S21)</f>
        <v>14.364</v>
      </c>
      <c r="T19" s="13">
        <f>SUM('Monthly P&amp;L, cash and runway'!T20,'Monthly P&amp;L, cash and runway'!T21)</f>
        <v>14.82</v>
      </c>
      <c r="U19" s="13">
        <f>SUM('Monthly P&amp;L, cash and runway'!U20,'Monthly P&amp;L, cash and runway'!U21)</f>
        <v>16.416</v>
      </c>
      <c r="V19" s="13">
        <f>SUM('Monthly P&amp;L, cash and runway'!V20,'Monthly P&amp;L, cash and runway'!V21)</f>
        <v>16.872</v>
      </c>
      <c r="W19" s="13">
        <f>SUM('Monthly P&amp;L, cash and runway'!W20,'Monthly P&amp;L, cash and runway'!W21)</f>
        <v>18.468</v>
      </c>
      <c r="X19" s="13">
        <f>SUM('Monthly P&amp;L, cash and runway'!X20,'Monthly P&amp;L, cash and runway'!X21)</f>
        <v>18.924</v>
      </c>
      <c r="Y19" s="13">
        <f>SUM('Monthly P&amp;L, cash and runway'!Y20,'Monthly P&amp;L, cash and runway'!Y21)</f>
        <v>20.520000000000003</v>
      </c>
    </row>
    <row r="20" outlineLevel="1">
      <c r="A20" t="inlineStr" s="8">
        <is>
          <t xml:space="preserve">Starter</t>
        </is>
      </c>
      <c r="B20" s="14">
        <f>'Monthly P&amp;L, cash and runway'!B14*'Model inputs'!B28</f>
        <v>0</v>
      </c>
      <c r="C20" s="14">
        <f>'Monthly P&amp;L, cash and runway'!C14*'Model inputs'!B28</f>
        <v>0</v>
      </c>
      <c r="D20" s="14">
        <f>'Monthly P&amp;L, cash and runway'!D14*'Model inputs'!B28</f>
        <v>0</v>
      </c>
      <c r="E20" s="14">
        <f>'Monthly P&amp;L, cash and runway'!E14*'Model inputs'!B28</f>
        <v>0.456</v>
      </c>
      <c r="F20" s="14">
        <f>'Monthly P&amp;L, cash and runway'!F14*'Model inputs'!B28</f>
        <v>0.684</v>
      </c>
      <c r="G20" s="14">
        <f>'Monthly P&amp;L, cash and runway'!G14*'Model inputs'!B28</f>
        <v>1.1400000000000001</v>
      </c>
      <c r="H20" s="14">
        <f>'Monthly P&amp;L, cash and runway'!H14*'Model inputs'!B28</f>
        <v>1.596</v>
      </c>
      <c r="I20" s="14">
        <f>'Monthly P&amp;L, cash and runway'!I14*'Model inputs'!B28</f>
        <v>1.824</v>
      </c>
      <c r="J20" s="14">
        <f>'Monthly P&amp;L, cash and runway'!J14*'Model inputs'!B28</f>
        <v>2.2800000000000002</v>
      </c>
      <c r="K20" s="14">
        <f>'Monthly P&amp;L, cash and runway'!K14*'Model inputs'!B28</f>
        <v>2.736</v>
      </c>
      <c r="L20" s="14">
        <f>'Monthly P&amp;L, cash and runway'!L14*'Model inputs'!B28</f>
        <v>2.964</v>
      </c>
      <c r="M20" s="14">
        <f>'Monthly P&amp;L, cash and runway'!M14*'Model inputs'!B28</f>
        <v>3.42</v>
      </c>
      <c r="N20" s="14">
        <f>'Monthly P&amp;L, cash and runway'!N14*'Model inputs'!B28</f>
        <v>3.8760000000000003</v>
      </c>
      <c r="O20" s="14">
        <f>'Monthly P&amp;L, cash and runway'!O14*'Model inputs'!B28</f>
        <v>4.332</v>
      </c>
      <c r="P20" s="14">
        <f>'Monthly P&amp;L, cash and runway'!P14*'Model inputs'!B28</f>
        <v>4.788</v>
      </c>
      <c r="Q20" s="14">
        <f>'Monthly P&amp;L, cash and runway'!Q14*'Model inputs'!B28</f>
        <v>5.244</v>
      </c>
      <c r="R20" s="14">
        <f>'Monthly P&amp;L, cash and runway'!R14*'Model inputs'!B28</f>
        <v>5.7</v>
      </c>
      <c r="S20" s="14">
        <f>'Monthly P&amp;L, cash and runway'!S14*'Model inputs'!B28</f>
        <v>6.384</v>
      </c>
      <c r="T20" s="14">
        <f>'Monthly P&amp;L, cash and runway'!T14*'Model inputs'!B28</f>
        <v>6.84</v>
      </c>
      <c r="U20" s="14">
        <f>'Monthly P&amp;L, cash and runway'!U14*'Model inputs'!B28</f>
        <v>7.296</v>
      </c>
      <c r="V20" s="14">
        <f>'Monthly P&amp;L, cash and runway'!V14*'Model inputs'!B28</f>
        <v>7.752000000000001</v>
      </c>
      <c r="W20" s="14">
        <f>'Monthly P&amp;L, cash and runway'!W14*'Model inputs'!B28</f>
        <v>8.208</v>
      </c>
      <c r="X20" s="14">
        <f>'Monthly P&amp;L, cash and runway'!X14*'Model inputs'!B28</f>
        <v>8.664</v>
      </c>
      <c r="Y20" s="14">
        <f>'Monthly P&amp;L, cash and runway'!Y14*'Model inputs'!B28</f>
        <v>9.120000000000001</v>
      </c>
    </row>
    <row r="21" outlineLevel="1">
      <c r="A21" t="inlineStr" s="8">
        <is>
          <t xml:space="preserve">Team</t>
        </is>
      </c>
      <c r="B21" s="14">
        <f>'Monthly P&amp;L, cash and runway'!B15*'Model inputs'!B28</f>
        <v>0</v>
      </c>
      <c r="C21" s="14">
        <f>'Monthly P&amp;L, cash and runway'!C15*'Model inputs'!B28</f>
        <v>0</v>
      </c>
      <c r="D21" s="14">
        <f>'Monthly P&amp;L, cash and runway'!D15*'Model inputs'!B28</f>
        <v>0</v>
      </c>
      <c r="E21" s="14">
        <f>'Monthly P&amp;L, cash and runway'!E15*'Model inputs'!B28</f>
        <v>0</v>
      </c>
      <c r="F21" s="14">
        <f>'Monthly P&amp;L, cash and runway'!F15*'Model inputs'!B28</f>
        <v>1.1400000000000001</v>
      </c>
      <c r="G21" s="14">
        <f>'Monthly P&amp;L, cash and runway'!G15*'Model inputs'!B28</f>
        <v>1.1400000000000001</v>
      </c>
      <c r="H21" s="14">
        <f>'Monthly P&amp;L, cash and runway'!H15*'Model inputs'!B28</f>
        <v>1.1400000000000001</v>
      </c>
      <c r="I21" s="14">
        <f>'Monthly P&amp;L, cash and runway'!I15*'Model inputs'!B28</f>
        <v>2.2800000000000002</v>
      </c>
      <c r="J21" s="14">
        <f>'Monthly P&amp;L, cash and runway'!J15*'Model inputs'!B28</f>
        <v>2.2800000000000002</v>
      </c>
      <c r="K21" s="14">
        <f>'Monthly P&amp;L, cash and runway'!K15*'Model inputs'!B28</f>
        <v>2.2800000000000002</v>
      </c>
      <c r="L21" s="14">
        <f>'Monthly P&amp;L, cash and runway'!L15*'Model inputs'!B28</f>
        <v>3.42</v>
      </c>
      <c r="M21" s="14">
        <f>'Monthly P&amp;L, cash and runway'!M15*'Model inputs'!B28</f>
        <v>3.42</v>
      </c>
      <c r="N21" s="14">
        <f>'Monthly P&amp;L, cash and runway'!N15*'Model inputs'!B28</f>
        <v>4.5600000000000005</v>
      </c>
      <c r="O21" s="14">
        <f>'Monthly P&amp;L, cash and runway'!O15*'Model inputs'!B28</f>
        <v>4.5600000000000005</v>
      </c>
      <c r="P21" s="14">
        <f>'Monthly P&amp;L, cash and runway'!P15*'Model inputs'!B28</f>
        <v>5.7</v>
      </c>
      <c r="Q21" s="14">
        <f>'Monthly P&amp;L, cash and runway'!Q15*'Model inputs'!B28</f>
        <v>5.7</v>
      </c>
      <c r="R21" s="14">
        <f>'Monthly P&amp;L, cash and runway'!R15*'Model inputs'!B28</f>
        <v>6.84</v>
      </c>
      <c r="S21" s="14">
        <f>'Monthly P&amp;L, cash and runway'!S15*'Model inputs'!B28</f>
        <v>7.98</v>
      </c>
      <c r="T21" s="14">
        <f>'Monthly P&amp;L, cash and runway'!T15*'Model inputs'!B28</f>
        <v>7.98</v>
      </c>
      <c r="U21" s="14">
        <f>'Monthly P&amp;L, cash and runway'!U15*'Model inputs'!B28</f>
        <v>9.120000000000001</v>
      </c>
      <c r="V21" s="14">
        <f>'Monthly P&amp;L, cash and runway'!V15*'Model inputs'!B28</f>
        <v>9.120000000000001</v>
      </c>
      <c r="W21" s="14">
        <f>'Monthly P&amp;L, cash and runway'!W15*'Model inputs'!B28</f>
        <v>10.26</v>
      </c>
      <c r="X21" s="14">
        <f>'Monthly P&amp;L, cash and runway'!X15*'Model inputs'!B28</f>
        <v>10.26</v>
      </c>
      <c r="Y21" s="14">
        <f>'Monthly P&amp;L, cash and runway'!Y15*'Model inputs'!B28</f>
        <v>11.4</v>
      </c>
    </row>
    <row r="22">
      <c r="A22" t="inlineStr" s="6">
        <is>
          <t xml:space="preserve">Crustdata cost</t>
        </is>
      </c>
      <c r="B22" s="11">
        <f>SUM('Monthly P&amp;L, cash and runway'!B23,'Monthly P&amp;L, cash and runway'!B24)</f>
        <v>0</v>
      </c>
      <c r="C22" s="11">
        <f>SUM('Monthly P&amp;L, cash and runway'!C23,'Monthly P&amp;L, cash and runway'!C24)</f>
        <v>0</v>
      </c>
      <c r="D22" s="11">
        <f>SUM('Monthly P&amp;L, cash and runway'!D23,'Monthly P&amp;L, cash and runway'!D24)</f>
        <v>0</v>
      </c>
      <c r="E22" s="11">
        <f>SUM('Monthly P&amp;L, cash and runway'!E23,'Monthly P&amp;L, cash and runway'!E24)</f>
        <v>73.92</v>
      </c>
      <c r="F22" s="11">
        <f>SUM('Monthly P&amp;L, cash and runway'!F23,'Monthly P&amp;L, cash and runway'!F24)</f>
        <v>295.68</v>
      </c>
      <c r="G22" s="11">
        <f>SUM('Monthly P&amp;L, cash and runway'!G23,'Monthly P&amp;L, cash and runway'!G24)</f>
        <v>369.6</v>
      </c>
      <c r="H22" s="11">
        <f>SUM('Monthly P&amp;L, cash and runway'!H23,'Monthly P&amp;L, cash and runway'!H24)</f>
        <v>443.52000000000004</v>
      </c>
      <c r="I22" s="11">
        <f>SUM('Monthly P&amp;L, cash and runway'!I23,'Monthly P&amp;L, cash and runway'!I24)</f>
        <v>665.28</v>
      </c>
      <c r="J22" s="11">
        <f>SUM('Monthly P&amp;L, cash and runway'!J23,'Monthly P&amp;L, cash and runway'!J24)</f>
        <v>739.2</v>
      </c>
      <c r="K22" s="11">
        <f>SUM('Monthly P&amp;L, cash and runway'!K23,'Monthly P&amp;L, cash and runway'!K24)</f>
        <v>813.12</v>
      </c>
      <c r="L22" s="11">
        <f>SUM('Monthly P&amp;L, cash and runway'!L23,'Monthly P&amp;L, cash and runway'!L24)</f>
        <v>1034.88</v>
      </c>
      <c r="M22" s="11">
        <f>SUM('Monthly P&amp;L, cash and runway'!M23,'Monthly P&amp;L, cash and runway'!M24)</f>
        <v>1108.8</v>
      </c>
      <c r="N22" s="11">
        <f>SUM('Monthly P&amp;L, cash and runway'!N23,'Monthly P&amp;L, cash and runway'!N24)</f>
        <v>1367.52</v>
      </c>
      <c r="O22" s="11">
        <f>SUM('Monthly P&amp;L, cash and runway'!O23,'Monthly P&amp;L, cash and runway'!O24)</f>
        <v>1441.44</v>
      </c>
      <c r="P22" s="11">
        <f>SUM('Monthly P&amp;L, cash and runway'!P23,'Monthly P&amp;L, cash and runway'!P24)</f>
        <v>1700.1599999999999</v>
      </c>
      <c r="Q22" s="11">
        <f>SUM('Monthly P&amp;L, cash and runway'!Q23,'Monthly P&amp;L, cash and runway'!Q24)</f>
        <v>1774.08</v>
      </c>
      <c r="R22" s="11">
        <f>SUM('Monthly P&amp;L, cash and runway'!R23,'Monthly P&amp;L, cash and runway'!R24)</f>
        <v>2032.8</v>
      </c>
      <c r="S22" s="11">
        <f>SUM('Monthly P&amp;L, cash and runway'!S23,'Monthly P&amp;L, cash and runway'!S24)</f>
        <v>2328.4800000000005</v>
      </c>
      <c r="T22" s="11">
        <f>SUM('Monthly P&amp;L, cash and runway'!T23,'Monthly P&amp;L, cash and runway'!T24)</f>
        <v>2402.4</v>
      </c>
      <c r="U22" s="11">
        <f>SUM('Monthly P&amp;L, cash and runway'!U23,'Monthly P&amp;L, cash and runway'!U24)</f>
        <v>2661.12</v>
      </c>
      <c r="V22" s="11">
        <f>SUM('Monthly P&amp;L, cash and runway'!V23,'Monthly P&amp;L, cash and runway'!V24)</f>
        <v>2735.04</v>
      </c>
      <c r="W22" s="11">
        <f>SUM('Monthly P&amp;L, cash and runway'!W23,'Monthly P&amp;L, cash and runway'!W24)</f>
        <v>2993.76</v>
      </c>
      <c r="X22" s="11">
        <f>SUM('Monthly P&amp;L, cash and runway'!X23,'Monthly P&amp;L, cash and runway'!X24)</f>
        <v>3067.6800000000003</v>
      </c>
      <c r="Y22" s="11">
        <f>SUM('Monthly P&amp;L, cash and runway'!Y23,'Monthly P&amp;L, cash and runway'!Y24)</f>
        <v>3326.4</v>
      </c>
    </row>
    <row r="23" outlineLevel="1">
      <c r="A23" t="inlineStr" s="8">
        <is>
          <t xml:space="preserve">Starter</t>
        </is>
      </c>
      <c r="B23" s="12">
        <f>'Monthly P&amp;L, cash and runway'!B14*(1-'Model inputs'!B10)*'Model inputs'!B15</f>
        <v>0</v>
      </c>
      <c r="C23" s="12">
        <f>'Monthly P&amp;L, cash and runway'!C14*(1-'Model inputs'!B10)*'Model inputs'!B15</f>
        <v>0</v>
      </c>
      <c r="D23" s="12">
        <f>'Monthly P&amp;L, cash and runway'!D14*(1-'Model inputs'!B10)*'Model inputs'!B15</f>
        <v>0</v>
      </c>
      <c r="E23" s="12">
        <f>'Monthly P&amp;L, cash and runway'!E14*(1-'Model inputs'!B10)*'Model inputs'!B15</f>
        <v>73.92</v>
      </c>
      <c r="F23" s="12">
        <f>'Monthly P&amp;L, cash and runway'!F14*(1-'Model inputs'!B10)*'Model inputs'!B15</f>
        <v>110.88</v>
      </c>
      <c r="G23" s="12">
        <f>'Monthly P&amp;L, cash and runway'!G14*(1-'Model inputs'!B10)*'Model inputs'!B15</f>
        <v>184.8</v>
      </c>
      <c r="H23" s="12">
        <f>'Monthly P&amp;L, cash and runway'!H14*(1-'Model inputs'!B10)*'Model inputs'!B15</f>
        <v>258.72</v>
      </c>
      <c r="I23" s="12">
        <f>'Monthly P&amp;L, cash and runway'!I14*(1-'Model inputs'!B10)*'Model inputs'!B15</f>
        <v>295.68</v>
      </c>
      <c r="J23" s="12">
        <f>'Monthly P&amp;L, cash and runway'!J14*(1-'Model inputs'!B10)*'Model inputs'!B15</f>
        <v>369.6</v>
      </c>
      <c r="K23" s="12">
        <f>'Monthly P&amp;L, cash and runway'!K14*(1-'Model inputs'!B10)*'Model inputs'!B15</f>
        <v>443.52</v>
      </c>
      <c r="L23" s="12">
        <f>'Monthly P&amp;L, cash and runway'!L14*(1-'Model inputs'!B10)*'Model inputs'!B15</f>
        <v>480.48</v>
      </c>
      <c r="M23" s="12">
        <f>'Monthly P&amp;L, cash and runway'!M14*(1-'Model inputs'!B10)*'Model inputs'!B15</f>
        <v>554.4</v>
      </c>
      <c r="N23" s="12">
        <f>'Monthly P&amp;L, cash and runway'!N14*(1-'Model inputs'!B10)*'Model inputs'!B15</f>
        <v>628.32</v>
      </c>
      <c r="O23" s="12">
        <f>'Monthly P&amp;L, cash and runway'!O14*(1-'Model inputs'!B10)*'Model inputs'!B15</f>
        <v>702.24</v>
      </c>
      <c r="P23" s="12">
        <f>'Monthly P&amp;L, cash and runway'!P14*(1-'Model inputs'!B10)*'Model inputs'!B15</f>
        <v>776.16</v>
      </c>
      <c r="Q23" s="12">
        <f>'Monthly P&amp;L, cash and runway'!Q14*(1-'Model inputs'!B10)*'Model inputs'!B15</f>
        <v>850.08</v>
      </c>
      <c r="R23" s="12">
        <f>'Monthly P&amp;L, cash and runway'!R14*(1-'Model inputs'!B10)*'Model inputs'!B15</f>
        <v>924</v>
      </c>
      <c r="S23" s="12">
        <f>'Monthly P&amp;L, cash and runway'!S14*(1-'Model inputs'!B10)*'Model inputs'!B15</f>
        <v>1034.88</v>
      </c>
      <c r="T23" s="12">
        <f>'Monthly P&amp;L, cash and runway'!T14*(1-'Model inputs'!B10)*'Model inputs'!B15</f>
        <v>1108.8</v>
      </c>
      <c r="U23" s="12">
        <f>'Monthly P&amp;L, cash and runway'!U14*(1-'Model inputs'!B10)*'Model inputs'!B15</f>
        <v>1182.72</v>
      </c>
      <c r="V23" s="12">
        <f>'Monthly P&amp;L, cash and runway'!V14*(1-'Model inputs'!B10)*'Model inputs'!B15</f>
        <v>1256.64</v>
      </c>
      <c r="W23" s="12">
        <f>'Monthly P&amp;L, cash and runway'!W14*(1-'Model inputs'!B10)*'Model inputs'!B15</f>
        <v>1330.56</v>
      </c>
      <c r="X23" s="12">
        <f>'Monthly P&amp;L, cash and runway'!X14*(1-'Model inputs'!B10)*'Model inputs'!B15</f>
        <v>1404.48</v>
      </c>
      <c r="Y23" s="12">
        <f>'Monthly P&amp;L, cash and runway'!Y14*(1-'Model inputs'!B10)*'Model inputs'!B15</f>
        <v>1478.4</v>
      </c>
    </row>
    <row r="24" outlineLevel="1">
      <c r="A24" t="inlineStr" s="8">
        <is>
          <t xml:space="preserve">Team</t>
        </is>
      </c>
      <c r="B24" s="12">
        <f>'Monthly P&amp;L, cash and runway'!B15*(1-'Model inputs'!B10)*'Model inputs'!B15</f>
        <v>0</v>
      </c>
      <c r="C24" s="12">
        <f>'Monthly P&amp;L, cash and runway'!C15*(1-'Model inputs'!B10)*'Model inputs'!B15</f>
        <v>0</v>
      </c>
      <c r="D24" s="12">
        <f>'Monthly P&amp;L, cash and runway'!D15*(1-'Model inputs'!B10)*'Model inputs'!B15</f>
        <v>0</v>
      </c>
      <c r="E24" s="12">
        <f>'Monthly P&amp;L, cash and runway'!E15*(1-'Model inputs'!B10)*'Model inputs'!B15</f>
        <v>0</v>
      </c>
      <c r="F24" s="12">
        <f>'Monthly P&amp;L, cash and runway'!F15*(1-'Model inputs'!B10)*'Model inputs'!B15</f>
        <v>184.8</v>
      </c>
      <c r="G24" s="12">
        <f>'Monthly P&amp;L, cash and runway'!G15*(1-'Model inputs'!B10)*'Model inputs'!B15</f>
        <v>184.8</v>
      </c>
      <c r="H24" s="12">
        <f>'Monthly P&amp;L, cash and runway'!H15*(1-'Model inputs'!B10)*'Model inputs'!B15</f>
        <v>184.8</v>
      </c>
      <c r="I24" s="12">
        <f>'Monthly P&amp;L, cash and runway'!I15*(1-'Model inputs'!B10)*'Model inputs'!B15</f>
        <v>369.6</v>
      </c>
      <c r="J24" s="12">
        <f>'Monthly P&amp;L, cash and runway'!J15*(1-'Model inputs'!B10)*'Model inputs'!B15</f>
        <v>369.6</v>
      </c>
      <c r="K24" s="12">
        <f>'Monthly P&amp;L, cash and runway'!K15*(1-'Model inputs'!B10)*'Model inputs'!B15</f>
        <v>369.6</v>
      </c>
      <c r="L24" s="12">
        <f>'Monthly P&amp;L, cash and runway'!L15*(1-'Model inputs'!B10)*'Model inputs'!B15</f>
        <v>554.4</v>
      </c>
      <c r="M24" s="12">
        <f>'Monthly P&amp;L, cash and runway'!M15*(1-'Model inputs'!B10)*'Model inputs'!B15</f>
        <v>554.4</v>
      </c>
      <c r="N24" s="12">
        <f>'Monthly P&amp;L, cash and runway'!N15*(1-'Model inputs'!B10)*'Model inputs'!B15</f>
        <v>739.2</v>
      </c>
      <c r="O24" s="12">
        <f>'Monthly P&amp;L, cash and runway'!O15*(1-'Model inputs'!B10)*'Model inputs'!B15</f>
        <v>739.2</v>
      </c>
      <c r="P24" s="12">
        <f>'Monthly P&amp;L, cash and runway'!P15*(1-'Model inputs'!B10)*'Model inputs'!B15</f>
        <v>924</v>
      </c>
      <c r="Q24" s="12">
        <f>'Monthly P&amp;L, cash and runway'!Q15*(1-'Model inputs'!B10)*'Model inputs'!B15</f>
        <v>924</v>
      </c>
      <c r="R24" s="12">
        <f>'Monthly P&amp;L, cash and runway'!R15*(1-'Model inputs'!B10)*'Model inputs'!B15</f>
        <v>1108.8</v>
      </c>
      <c r="S24" s="12">
        <f>'Monthly P&amp;L, cash and runway'!S15*(1-'Model inputs'!B10)*'Model inputs'!B15</f>
        <v>1293.6000000000001</v>
      </c>
      <c r="T24" s="12">
        <f>'Monthly P&amp;L, cash and runway'!T15*(1-'Model inputs'!B10)*'Model inputs'!B15</f>
        <v>1293.6000000000001</v>
      </c>
      <c r="U24" s="12">
        <f>'Monthly P&amp;L, cash and runway'!U15*(1-'Model inputs'!B10)*'Model inputs'!B15</f>
        <v>1478.4</v>
      </c>
      <c r="V24" s="12">
        <f>'Monthly P&amp;L, cash and runway'!V15*(1-'Model inputs'!B10)*'Model inputs'!B15</f>
        <v>1478.4</v>
      </c>
      <c r="W24" s="12">
        <f>'Monthly P&amp;L, cash and runway'!W15*(1-'Model inputs'!B10)*'Model inputs'!B15</f>
        <v>1663.2</v>
      </c>
      <c r="X24" s="12">
        <f>'Monthly P&amp;L, cash and runway'!X15*(1-'Model inputs'!B10)*'Model inputs'!B15</f>
        <v>1663.2</v>
      </c>
      <c r="Y24" s="12">
        <f>'Monthly P&amp;L, cash and runway'!Y15*(1-'Model inputs'!B10)*'Model inputs'!B15</f>
        <v>1848</v>
      </c>
    </row>
    <row r="25">
      <c r="A25" t="inlineStr" s="10">
        <is>
          <t xml:space="preserve">Hosting</t>
        </is>
      </c>
      <c r="B25" s="14">
        <f>IF(IF(IF(ISERROR('Monthly P&amp;L, cash and runway'!B5&gt;=1),'Monthly P&amp;L, cash and runway'!B5&gt;=1,IF('Monthly P&amp;L, cash and runway'!B5="","",'Monthly P&amp;L, cash and runway'!B5&gt;=1))="",FALSE,IF(ISERROR('Monthly P&amp;L, cash and runway'!B5&gt;=1),'Monthly P&amp;L, cash and runway'!B5&gt;=1,IF('Monthly P&amp;L, cash and runway'!B5="","",'Monthly P&amp;L, cash and runway'!B5&gt;=1))),IF('Model inputs'!B24="","",'Model inputs'!B24),0)</f>
        <v>15.2</v>
      </c>
      <c r="C25" s="14">
        <f>IF(IF(IF(ISERROR('Monthly P&amp;L, cash and runway'!C5&gt;=1),'Monthly P&amp;L, cash and runway'!C5&gt;=1,IF('Monthly P&amp;L, cash and runway'!C5="","",'Monthly P&amp;L, cash and runway'!C5&gt;=1))="",FALSE,IF(ISERROR('Monthly P&amp;L, cash and runway'!C5&gt;=1),'Monthly P&amp;L, cash and runway'!C5&gt;=1,IF('Monthly P&amp;L, cash and runway'!C5="","",'Monthly P&amp;L, cash and runway'!C5&gt;=1))),IF('Model inputs'!B24="","",'Model inputs'!B24),0)</f>
        <v>15.2</v>
      </c>
      <c r="D25" s="14">
        <f>IF(IF(IF(ISERROR('Monthly P&amp;L, cash and runway'!D5&gt;=1),'Monthly P&amp;L, cash and runway'!D5&gt;=1,IF('Monthly P&amp;L, cash and runway'!D5="","",'Monthly P&amp;L, cash and runway'!D5&gt;=1))="",FALSE,IF(ISERROR('Monthly P&amp;L, cash and runway'!D5&gt;=1),'Monthly P&amp;L, cash and runway'!D5&gt;=1,IF('Monthly P&amp;L, cash and runway'!D5="","",'Monthly P&amp;L, cash and runway'!D5&gt;=1))),IF('Model inputs'!B24="","",'Model inputs'!B24),0)</f>
        <v>15.2</v>
      </c>
      <c r="E25" s="14">
        <f>IF(IF(IF(ISERROR('Monthly P&amp;L, cash and runway'!E5&gt;=1),'Monthly P&amp;L, cash and runway'!E5&gt;=1,IF('Monthly P&amp;L, cash and runway'!E5="","",'Monthly P&amp;L, cash and runway'!E5&gt;=1))="",FALSE,IF(ISERROR('Monthly P&amp;L, cash and runway'!E5&gt;=1),'Monthly P&amp;L, cash and runway'!E5&gt;=1,IF('Monthly P&amp;L, cash and runway'!E5="","",'Monthly P&amp;L, cash and runway'!E5&gt;=1))),IF('Model inputs'!B24="","",'Model inputs'!B24),0)</f>
        <v>15.2</v>
      </c>
      <c r="F25" s="14">
        <f>IF(IF(IF(ISERROR('Monthly P&amp;L, cash and runway'!F5&gt;=1),'Monthly P&amp;L, cash and runway'!F5&gt;=1,IF('Monthly P&amp;L, cash and runway'!F5="","",'Monthly P&amp;L, cash and runway'!F5&gt;=1))="",FALSE,IF(ISERROR('Monthly P&amp;L, cash and runway'!F5&gt;=1),'Monthly P&amp;L, cash and runway'!F5&gt;=1,IF('Monthly P&amp;L, cash and runway'!F5="","",'Monthly P&amp;L, cash and runway'!F5&gt;=1))),IF('Model inputs'!B24="","",'Model inputs'!B24),0)</f>
        <v>15.2</v>
      </c>
      <c r="G25" s="14">
        <f>IF(IF(IF(ISERROR('Monthly P&amp;L, cash and runway'!G5&gt;=1),'Monthly P&amp;L, cash and runway'!G5&gt;=1,IF('Monthly P&amp;L, cash and runway'!G5="","",'Monthly P&amp;L, cash and runway'!G5&gt;=1))="",FALSE,IF(ISERROR('Monthly P&amp;L, cash and runway'!G5&gt;=1),'Monthly P&amp;L, cash and runway'!G5&gt;=1,IF('Monthly P&amp;L, cash and runway'!G5="","",'Monthly P&amp;L, cash and runway'!G5&gt;=1))),IF('Model inputs'!B24="","",'Model inputs'!B24),0)</f>
        <v>15.2</v>
      </c>
      <c r="H25" s="14">
        <f>IF(IF(IF(ISERROR('Monthly P&amp;L, cash and runway'!H5&gt;=1),'Monthly P&amp;L, cash and runway'!H5&gt;=1,IF('Monthly P&amp;L, cash and runway'!H5="","",'Monthly P&amp;L, cash and runway'!H5&gt;=1))="",FALSE,IF(ISERROR('Monthly P&amp;L, cash and runway'!H5&gt;=1),'Monthly P&amp;L, cash and runway'!H5&gt;=1,IF('Monthly P&amp;L, cash and runway'!H5="","",'Monthly P&amp;L, cash and runway'!H5&gt;=1))),IF('Model inputs'!B24="","",'Model inputs'!B24),0)</f>
        <v>15.2</v>
      </c>
      <c r="I25" s="14">
        <f>IF(IF(IF(ISERROR('Monthly P&amp;L, cash and runway'!I5&gt;=1),'Monthly P&amp;L, cash and runway'!I5&gt;=1,IF('Monthly P&amp;L, cash and runway'!I5="","",'Monthly P&amp;L, cash and runway'!I5&gt;=1))="",FALSE,IF(ISERROR('Monthly P&amp;L, cash and runway'!I5&gt;=1),'Monthly P&amp;L, cash and runway'!I5&gt;=1,IF('Monthly P&amp;L, cash and runway'!I5="","",'Monthly P&amp;L, cash and runway'!I5&gt;=1))),IF('Model inputs'!B24="","",'Model inputs'!B24),0)</f>
        <v>15.2</v>
      </c>
      <c r="J25" s="14">
        <f>IF(IF(IF(ISERROR('Monthly P&amp;L, cash and runway'!J5&gt;=1),'Monthly P&amp;L, cash and runway'!J5&gt;=1,IF('Monthly P&amp;L, cash and runway'!J5="","",'Monthly P&amp;L, cash and runway'!J5&gt;=1))="",FALSE,IF(ISERROR('Monthly P&amp;L, cash and runway'!J5&gt;=1),'Monthly P&amp;L, cash and runway'!J5&gt;=1,IF('Monthly P&amp;L, cash and runway'!J5="","",'Monthly P&amp;L, cash and runway'!J5&gt;=1))),IF('Model inputs'!B24="","",'Model inputs'!B24),0)</f>
        <v>15.2</v>
      </c>
      <c r="K25" s="14">
        <f>IF(IF(IF(ISERROR('Monthly P&amp;L, cash and runway'!K5&gt;=1),'Monthly P&amp;L, cash and runway'!K5&gt;=1,IF('Monthly P&amp;L, cash and runway'!K5="","",'Monthly P&amp;L, cash and runway'!K5&gt;=1))="",FALSE,IF(ISERROR('Monthly P&amp;L, cash and runway'!K5&gt;=1),'Monthly P&amp;L, cash and runway'!K5&gt;=1,IF('Monthly P&amp;L, cash and runway'!K5="","",'Monthly P&amp;L, cash and runway'!K5&gt;=1))),IF('Model inputs'!B24="","",'Model inputs'!B24),0)</f>
        <v>15.2</v>
      </c>
      <c r="L25" s="14">
        <f>IF(IF(IF(ISERROR('Monthly P&amp;L, cash and runway'!L5&gt;=1),'Monthly P&amp;L, cash and runway'!L5&gt;=1,IF('Monthly P&amp;L, cash and runway'!L5="","",'Monthly P&amp;L, cash and runway'!L5&gt;=1))="",FALSE,IF(ISERROR('Monthly P&amp;L, cash and runway'!L5&gt;=1),'Monthly P&amp;L, cash and runway'!L5&gt;=1,IF('Monthly P&amp;L, cash and runway'!L5="","",'Monthly P&amp;L, cash and runway'!L5&gt;=1))),IF('Model inputs'!B24="","",'Model inputs'!B24),0)</f>
        <v>15.2</v>
      </c>
      <c r="M25" s="14">
        <f>IF(IF(IF(ISERROR('Monthly P&amp;L, cash and runway'!M5&gt;=1),'Monthly P&amp;L, cash and runway'!M5&gt;=1,IF('Monthly P&amp;L, cash and runway'!M5="","",'Monthly P&amp;L, cash and runway'!M5&gt;=1))="",FALSE,IF(ISERROR('Monthly P&amp;L, cash and runway'!M5&gt;=1),'Monthly P&amp;L, cash and runway'!M5&gt;=1,IF('Monthly P&amp;L, cash and runway'!M5="","",'Monthly P&amp;L, cash and runway'!M5&gt;=1))),IF('Model inputs'!B24="","",'Model inputs'!B24),0)</f>
        <v>15.2</v>
      </c>
      <c r="N25" s="14">
        <f>IF(IF(IF(ISERROR('Monthly P&amp;L, cash and runway'!N5&gt;=1),'Monthly P&amp;L, cash and runway'!N5&gt;=1,IF('Monthly P&amp;L, cash and runway'!N5="","",'Monthly P&amp;L, cash and runway'!N5&gt;=1))="",FALSE,IF(ISERROR('Monthly P&amp;L, cash and runway'!N5&gt;=1),'Monthly P&amp;L, cash and runway'!N5&gt;=1,IF('Monthly P&amp;L, cash and runway'!N5="","",'Monthly P&amp;L, cash and runway'!N5&gt;=1))),IF('Model inputs'!B24="","",'Model inputs'!B24),0)</f>
        <v>15.2</v>
      </c>
      <c r="O25" s="14">
        <f>IF(IF(IF(ISERROR('Monthly P&amp;L, cash and runway'!O5&gt;=1),'Monthly P&amp;L, cash and runway'!O5&gt;=1,IF('Monthly P&amp;L, cash and runway'!O5="","",'Monthly P&amp;L, cash and runway'!O5&gt;=1))="",FALSE,IF(ISERROR('Monthly P&amp;L, cash and runway'!O5&gt;=1),'Monthly P&amp;L, cash and runway'!O5&gt;=1,IF('Monthly P&amp;L, cash and runway'!O5="","",'Monthly P&amp;L, cash and runway'!O5&gt;=1))),IF('Model inputs'!B24="","",'Model inputs'!B24),0)</f>
        <v>15.2</v>
      </c>
      <c r="P25" s="14">
        <f>IF(IF(IF(ISERROR('Monthly P&amp;L, cash and runway'!P5&gt;=1),'Monthly P&amp;L, cash and runway'!P5&gt;=1,IF('Monthly P&amp;L, cash and runway'!P5="","",'Monthly P&amp;L, cash and runway'!P5&gt;=1))="",FALSE,IF(ISERROR('Monthly P&amp;L, cash and runway'!P5&gt;=1),'Monthly P&amp;L, cash and runway'!P5&gt;=1,IF('Monthly P&amp;L, cash and runway'!P5="","",'Monthly P&amp;L, cash and runway'!P5&gt;=1))),IF('Model inputs'!B24="","",'Model inputs'!B24),0)</f>
        <v>15.2</v>
      </c>
      <c r="Q25" s="14">
        <f>IF(IF(IF(ISERROR('Monthly P&amp;L, cash and runway'!Q5&gt;=1),'Monthly P&amp;L, cash and runway'!Q5&gt;=1,IF('Monthly P&amp;L, cash and runway'!Q5="","",'Monthly P&amp;L, cash and runway'!Q5&gt;=1))="",FALSE,IF(ISERROR('Monthly P&amp;L, cash and runway'!Q5&gt;=1),'Monthly P&amp;L, cash and runway'!Q5&gt;=1,IF('Monthly P&amp;L, cash and runway'!Q5="","",'Monthly P&amp;L, cash and runway'!Q5&gt;=1))),IF('Model inputs'!B24="","",'Model inputs'!B24),0)</f>
        <v>15.2</v>
      </c>
      <c r="R25" s="14">
        <f>IF(IF(IF(ISERROR('Monthly P&amp;L, cash and runway'!R5&gt;=1),'Monthly P&amp;L, cash and runway'!R5&gt;=1,IF('Monthly P&amp;L, cash and runway'!R5="","",'Monthly P&amp;L, cash and runway'!R5&gt;=1))="",FALSE,IF(ISERROR('Monthly P&amp;L, cash and runway'!R5&gt;=1),'Monthly P&amp;L, cash and runway'!R5&gt;=1,IF('Monthly P&amp;L, cash and runway'!R5="","",'Monthly P&amp;L, cash and runway'!R5&gt;=1))),IF('Model inputs'!B24="","",'Model inputs'!B24),0)</f>
        <v>15.2</v>
      </c>
      <c r="S25" s="14">
        <f>IF(IF(IF(ISERROR('Monthly P&amp;L, cash and runway'!S5&gt;=1),'Monthly P&amp;L, cash and runway'!S5&gt;=1,IF('Monthly P&amp;L, cash and runway'!S5="","",'Monthly P&amp;L, cash and runway'!S5&gt;=1))="",FALSE,IF(ISERROR('Monthly P&amp;L, cash and runway'!S5&gt;=1),'Monthly P&amp;L, cash and runway'!S5&gt;=1,IF('Monthly P&amp;L, cash and runway'!S5="","",'Monthly P&amp;L, cash and runway'!S5&gt;=1))),IF('Model inputs'!B24="","",'Model inputs'!B24),0)</f>
        <v>15.2</v>
      </c>
      <c r="T25" s="14">
        <f>IF(IF(IF(ISERROR('Monthly P&amp;L, cash and runway'!T5&gt;=1),'Monthly P&amp;L, cash and runway'!T5&gt;=1,IF('Monthly P&amp;L, cash and runway'!T5="","",'Monthly P&amp;L, cash and runway'!T5&gt;=1))="",FALSE,IF(ISERROR('Monthly P&amp;L, cash and runway'!T5&gt;=1),'Monthly P&amp;L, cash and runway'!T5&gt;=1,IF('Monthly P&amp;L, cash and runway'!T5="","",'Monthly P&amp;L, cash and runway'!T5&gt;=1))),IF('Model inputs'!B24="","",'Model inputs'!B24),0)</f>
        <v>15.2</v>
      </c>
      <c r="U25" s="14">
        <f>IF(IF(IF(ISERROR('Monthly P&amp;L, cash and runway'!U5&gt;=1),'Monthly P&amp;L, cash and runway'!U5&gt;=1,IF('Monthly P&amp;L, cash and runway'!U5="","",'Monthly P&amp;L, cash and runway'!U5&gt;=1))="",FALSE,IF(ISERROR('Monthly P&amp;L, cash and runway'!U5&gt;=1),'Monthly P&amp;L, cash and runway'!U5&gt;=1,IF('Monthly P&amp;L, cash and runway'!U5="","",'Monthly P&amp;L, cash and runway'!U5&gt;=1))),IF('Model inputs'!B24="","",'Model inputs'!B24),0)</f>
        <v>15.2</v>
      </c>
      <c r="V25" s="14">
        <f>IF(IF(IF(ISERROR('Monthly P&amp;L, cash and runway'!V5&gt;=1),'Monthly P&amp;L, cash and runway'!V5&gt;=1,IF('Monthly P&amp;L, cash and runway'!V5="","",'Monthly P&amp;L, cash and runway'!V5&gt;=1))="",FALSE,IF(ISERROR('Monthly P&amp;L, cash and runway'!V5&gt;=1),'Monthly P&amp;L, cash and runway'!V5&gt;=1,IF('Monthly P&amp;L, cash and runway'!V5="","",'Monthly P&amp;L, cash and runway'!V5&gt;=1))),IF('Model inputs'!B24="","",'Model inputs'!B24),0)</f>
        <v>15.2</v>
      </c>
      <c r="W25" s="14">
        <f>IF(IF(IF(ISERROR('Monthly P&amp;L, cash and runway'!W5&gt;=1),'Monthly P&amp;L, cash and runway'!W5&gt;=1,IF('Monthly P&amp;L, cash and runway'!W5="","",'Monthly P&amp;L, cash and runway'!W5&gt;=1))="",FALSE,IF(ISERROR('Monthly P&amp;L, cash and runway'!W5&gt;=1),'Monthly P&amp;L, cash and runway'!W5&gt;=1,IF('Monthly P&amp;L, cash and runway'!W5="","",'Monthly P&amp;L, cash and runway'!W5&gt;=1))),IF('Model inputs'!B24="","",'Model inputs'!B24),0)</f>
        <v>15.2</v>
      </c>
      <c r="X25" s="14">
        <f>IF(IF(IF(ISERROR('Monthly P&amp;L, cash and runway'!X5&gt;=1),'Monthly P&amp;L, cash and runway'!X5&gt;=1,IF('Monthly P&amp;L, cash and runway'!X5="","",'Monthly P&amp;L, cash and runway'!X5&gt;=1))="",FALSE,IF(ISERROR('Monthly P&amp;L, cash and runway'!X5&gt;=1),'Monthly P&amp;L, cash and runway'!X5&gt;=1,IF('Monthly P&amp;L, cash and runway'!X5="","",'Monthly P&amp;L, cash and runway'!X5&gt;=1))),IF('Model inputs'!B24="","",'Model inputs'!B24),0)</f>
        <v>15.2</v>
      </c>
      <c r="Y25" s="14">
        <f>IF(IF(IF(ISERROR('Monthly P&amp;L, cash and runway'!Y5&gt;=1),'Monthly P&amp;L, cash and runway'!Y5&gt;=1,IF('Monthly P&amp;L, cash and runway'!Y5="","",'Monthly P&amp;L, cash and runway'!Y5&gt;=1))="",FALSE,IF(ISERROR('Monthly P&amp;L, cash and runway'!Y5&gt;=1),'Monthly P&amp;L, cash and runway'!Y5&gt;=1,IF('Monthly P&amp;L, cash and runway'!Y5="","",'Monthly P&amp;L, cash and runway'!Y5&gt;=1))),IF('Model inputs'!B24="","",'Model inputs'!B24),0)</f>
        <v>15.2</v>
      </c>
    </row>
    <row r="26">
      <c r="A26" t="inlineStr" s="10">
        <is>
          <t xml:space="preserve">COGS</t>
        </is>
      </c>
      <c r="B26" s="12">
        <f>'Monthly P&amp;L, cash and runway'!B19+'Monthly P&amp;L, cash and runway'!B22+'Monthly P&amp;L, cash and runway'!B25</f>
        <v>15.2</v>
      </c>
      <c r="C26" s="12">
        <f>'Monthly P&amp;L, cash and runway'!C19+'Monthly P&amp;L, cash and runway'!C22+'Monthly P&amp;L, cash and runway'!C25</f>
        <v>15.2</v>
      </c>
      <c r="D26" s="12">
        <f>'Monthly P&amp;L, cash and runway'!D19+'Monthly P&amp;L, cash and runway'!D22+'Monthly P&amp;L, cash and runway'!D25</f>
        <v>15.2</v>
      </c>
      <c r="E26" s="12">
        <f>'Monthly P&amp;L, cash and runway'!E19+'Monthly P&amp;L, cash and runway'!E22+'Monthly P&amp;L, cash and runway'!E25</f>
        <v>89.57600000000001</v>
      </c>
      <c r="F26" s="12">
        <f>'Monthly P&amp;L, cash and runway'!F19+'Monthly P&amp;L, cash and runway'!F22+'Monthly P&amp;L, cash and runway'!F25</f>
        <v>312.704</v>
      </c>
      <c r="G26" s="12">
        <f>'Monthly P&amp;L, cash and runway'!G19+'Monthly P&amp;L, cash and runway'!G22+'Monthly P&amp;L, cash and runway'!G25</f>
        <v>387.08</v>
      </c>
      <c r="H26" s="12">
        <f>'Monthly P&amp;L, cash and runway'!H19+'Monthly P&amp;L, cash and runway'!H22+'Monthly P&amp;L, cash and runway'!H25</f>
        <v>461.456</v>
      </c>
      <c r="I26" s="12">
        <f>'Monthly P&amp;L, cash and runway'!I19+'Monthly P&amp;L, cash and runway'!I22+'Monthly P&amp;L, cash and runway'!I25</f>
        <v>684.5840000000001</v>
      </c>
      <c r="J26" s="12">
        <f>'Monthly P&amp;L, cash and runway'!J19+'Monthly P&amp;L, cash and runway'!J22+'Monthly P&amp;L, cash and runway'!J25</f>
        <v>758.96</v>
      </c>
      <c r="K26" s="12">
        <f>'Monthly P&amp;L, cash and runway'!K19+'Monthly P&amp;L, cash and runway'!K22+'Monthly P&amp;L, cash and runway'!K25</f>
        <v>833.336</v>
      </c>
      <c r="L26" s="12">
        <f>'Monthly P&amp;L, cash and runway'!L19+'Monthly P&amp;L, cash and runway'!L22+'Monthly P&amp;L, cash and runway'!L25</f>
        <v>1056.4640000000002</v>
      </c>
      <c r="M26" s="12">
        <f>'Monthly P&amp;L, cash and runway'!M19+'Monthly P&amp;L, cash and runway'!M22+'Monthly P&amp;L, cash and runway'!M25</f>
        <v>1130.84</v>
      </c>
      <c r="N26" s="12">
        <f>'Monthly P&amp;L, cash and runway'!N19+'Monthly P&amp;L, cash and runway'!N22+'Monthly P&amp;L, cash and runway'!N25</f>
        <v>1391.156</v>
      </c>
      <c r="O26" s="12">
        <f>'Monthly P&amp;L, cash and runway'!O19+'Monthly P&amp;L, cash and runway'!O22+'Monthly P&amp;L, cash and runway'!O25</f>
        <v>1465.5320000000002</v>
      </c>
      <c r="P26" s="12">
        <f>'Monthly P&amp;L, cash and runway'!P19+'Monthly P&amp;L, cash and runway'!P22+'Monthly P&amp;L, cash and runway'!P25</f>
        <v>1725.848</v>
      </c>
      <c r="Q26" s="12">
        <f>'Monthly P&amp;L, cash and runway'!Q19+'Monthly P&amp;L, cash and runway'!Q22+'Monthly P&amp;L, cash and runway'!Q25</f>
        <v>1800.224</v>
      </c>
      <c r="R26" s="12">
        <f>'Monthly P&amp;L, cash and runway'!R19+'Monthly P&amp;L, cash and runway'!R22+'Monthly P&amp;L, cash and runway'!R25</f>
        <v>2060.54</v>
      </c>
      <c r="S26" s="12">
        <f>'Monthly P&amp;L, cash and runway'!S19+'Monthly P&amp;L, cash and runway'!S22+'Monthly P&amp;L, cash and runway'!S25</f>
        <v>2358.0440000000003</v>
      </c>
      <c r="T26" s="12">
        <f>'Monthly P&amp;L, cash and runway'!T19+'Monthly P&amp;L, cash and runway'!T22+'Monthly P&amp;L, cash and runway'!T25</f>
        <v>2432.42</v>
      </c>
      <c r="U26" s="12">
        <f>'Monthly P&amp;L, cash and runway'!U19+'Monthly P&amp;L, cash and runway'!U22+'Monthly P&amp;L, cash and runway'!U25</f>
        <v>2692.736</v>
      </c>
      <c r="V26" s="12">
        <f>'Monthly P&amp;L, cash and runway'!V19+'Monthly P&amp;L, cash and runway'!V22+'Monthly P&amp;L, cash and runway'!V25</f>
        <v>2767.1119999999996</v>
      </c>
      <c r="W26" s="12">
        <f>'Monthly P&amp;L, cash and runway'!W19+'Monthly P&amp;L, cash and runway'!W22+'Monthly P&amp;L, cash and runway'!W25</f>
        <v>3027.428</v>
      </c>
      <c r="X26" s="12">
        <f>'Monthly P&amp;L, cash and runway'!X19+'Monthly P&amp;L, cash and runway'!X22+'Monthly P&amp;L, cash and runway'!X25</f>
        <v>3101.804</v>
      </c>
      <c r="Y26" s="12">
        <f>'Monthly P&amp;L, cash and runway'!Y19+'Monthly P&amp;L, cash and runway'!Y22+'Monthly P&amp;L, cash and runway'!Y25</f>
        <v>3362.12</v>
      </c>
    </row>
    <row r="27">
      <c r="A27" t="inlineStr" s="10">
        <is>
          <t xml:space="preserve">Gross profit</t>
        </is>
      </c>
      <c r="B27" s="12">
        <f>'Monthly P&amp;L, cash and runway'!B16-'Monthly P&amp;L, cash and runway'!B26</f>
        <v>-15.2</v>
      </c>
      <c r="C27" s="12">
        <f>'Monthly P&amp;L, cash and runway'!C16-'Monthly P&amp;L, cash and runway'!C26</f>
        <v>-15.2</v>
      </c>
      <c r="D27" s="12">
        <f>'Monthly P&amp;L, cash and runway'!D16-'Monthly P&amp;L, cash and runway'!D26</f>
        <v>-15.2</v>
      </c>
      <c r="E27" s="12">
        <f>'Monthly P&amp;L, cash and runway'!E16-'Monthly P&amp;L, cash and runway'!E26</f>
        <v>108.42399999999999</v>
      </c>
      <c r="F27" s="12">
        <f>'Monthly P&amp;L, cash and runway'!F16-'Monthly P&amp;L, cash and runway'!F26</f>
        <v>383.296</v>
      </c>
      <c r="G27" s="12">
        <f>'Monthly P&amp;L, cash and runway'!G16-'Monthly P&amp;L, cash and runway'!G26</f>
        <v>506.92</v>
      </c>
      <c r="H27" s="12">
        <f>'Monthly P&amp;L, cash and runway'!H16-'Monthly P&amp;L, cash and runway'!H26</f>
        <v>630.544</v>
      </c>
      <c r="I27" s="12">
        <f>'Monthly P&amp;L, cash and runway'!I16-'Monthly P&amp;L, cash and runway'!I26</f>
        <v>905.4159999999999</v>
      </c>
      <c r="J27" s="12">
        <f>'Monthly P&amp;L, cash and runway'!J16-'Monthly P&amp;L, cash and runway'!J26</f>
        <v>1029.04</v>
      </c>
      <c r="K27" s="12">
        <f>'Monthly P&amp;L, cash and runway'!K16-'Monthly P&amp;L, cash and runway'!K26</f>
        <v>1152.664</v>
      </c>
      <c r="L27" s="12">
        <f>'Monthly P&amp;L, cash and runway'!L16-'Monthly P&amp;L, cash and runway'!L26</f>
        <v>1427.5359999999998</v>
      </c>
      <c r="M27" s="12">
        <f>'Monthly P&amp;L, cash and runway'!M16-'Monthly P&amp;L, cash and runway'!M26</f>
        <v>1551.16</v>
      </c>
      <c r="N27" s="12">
        <f>'Monthly P&amp;L, cash and runway'!N16-'Monthly P&amp;L, cash and runway'!N26</f>
        <v>1887.844</v>
      </c>
      <c r="O27" s="12">
        <f>'Monthly P&amp;L, cash and runway'!O16-'Monthly P&amp;L, cash and runway'!O26</f>
        <v>2011.4679999999998</v>
      </c>
      <c r="P27" s="12">
        <f>'Monthly P&amp;L, cash and runway'!P16-'Monthly P&amp;L, cash and runway'!P26</f>
        <v>2348.152</v>
      </c>
      <c r="Q27" s="12">
        <f>'Monthly P&amp;L, cash and runway'!Q16-'Monthly P&amp;L, cash and runway'!Q26</f>
        <v>2471.776</v>
      </c>
      <c r="R27" s="12">
        <f>'Monthly P&amp;L, cash and runway'!R16-'Monthly P&amp;L, cash and runway'!R26</f>
        <v>2808.46</v>
      </c>
      <c r="S27" s="12">
        <f>'Monthly P&amp;L, cash and runway'!S16-'Monthly P&amp;L, cash and runway'!S26</f>
        <v>3206.9559999999997</v>
      </c>
      <c r="T27" s="12">
        <f>'Monthly P&amp;L, cash and runway'!T16-'Monthly P&amp;L, cash and runway'!T26</f>
        <v>3330.58</v>
      </c>
      <c r="U27" s="12">
        <f>'Monthly P&amp;L, cash and runway'!U16-'Monthly P&amp;L, cash and runway'!U26</f>
        <v>3667.264</v>
      </c>
      <c r="V27" s="12">
        <f>'Monthly P&amp;L, cash and runway'!V16-'Monthly P&amp;L, cash and runway'!V26</f>
        <v>3790.8880000000004</v>
      </c>
      <c r="W27" s="12">
        <f>'Monthly P&amp;L, cash and runway'!W16-'Monthly P&amp;L, cash and runway'!W26</f>
        <v>4127.572</v>
      </c>
      <c r="X27" s="12">
        <f>'Monthly P&amp;L, cash and runway'!X16-'Monthly P&amp;L, cash and runway'!X26</f>
        <v>4251.196</v>
      </c>
      <c r="Y27" s="12">
        <f>'Monthly P&amp;L, cash and runway'!Y16-'Monthly P&amp;L, cash and runway'!Y26</f>
        <v>4587.88</v>
      </c>
    </row>
    <row r="28">
      <c r="A28" t="inlineStr" s="10">
        <is>
          <t xml:space="preserve">Gross margin</t>
        </is>
      </c>
      <c r="B28" t="str" s="15">
        <f>IFERROR('Monthly P&amp;L, cash and runway'!B27/'Monthly P&amp;L, cash and runway'!B16,"")</f>
        <v/>
      </c>
      <c r="C28" t="str" s="15">
        <f>IFERROR('Monthly P&amp;L, cash and runway'!C27/'Monthly P&amp;L, cash and runway'!C16,"")</f>
        <v/>
      </c>
      <c r="D28" t="str" s="15">
        <f>IFERROR('Monthly P&amp;L, cash and runway'!D27/'Monthly P&amp;L, cash and runway'!D16,"")</f>
        <v/>
      </c>
      <c r="E28" s="15">
        <f>IFERROR('Monthly P&amp;L, cash and runway'!E27/'Monthly P&amp;L, cash and runway'!E16,"")</f>
        <v>0.5475959595959595</v>
      </c>
      <c r="F28" s="15">
        <f>IFERROR('Monthly P&amp;L, cash and runway'!F27/'Monthly P&amp;L, cash and runway'!F16,"")</f>
        <v>0.5507126436781609</v>
      </c>
      <c r="G28" s="15">
        <f>IFERROR('Monthly P&amp;L, cash and runway'!G27/'Monthly P&amp;L, cash and runway'!G16,"")</f>
        <v>0.5670246085011186</v>
      </c>
      <c r="H28" s="15">
        <f>IFERROR('Monthly P&amp;L, cash and runway'!H27/'Monthly P&amp;L, cash and runway'!H16,"")</f>
        <v>0.5774212454212454</v>
      </c>
      <c r="I28" s="15">
        <f>IFERROR('Monthly P&amp;L, cash and runway'!I27/'Monthly P&amp;L, cash and runway'!I16,"")</f>
        <v>0.5694440251572327</v>
      </c>
      <c r="J28" s="15">
        <f>IFERROR('Monthly P&amp;L, cash and runway'!J27/'Monthly P&amp;L, cash and runway'!J16,"")</f>
        <v>0.5755257270693512</v>
      </c>
      <c r="K28" s="15">
        <f>IFERROR('Monthly P&amp;L, cash and runway'!K27/'Monthly P&amp;L, cash and runway'!K16,"")</f>
        <v>0.5803947633434038</v>
      </c>
      <c r="L28" s="15">
        <f>IFERROR('Monthly P&amp;L, cash and runway'!L27/'Monthly P&amp;L, cash and runway'!L16,"")</f>
        <v>0.5746924315619967</v>
      </c>
      <c r="M28" s="15">
        <f>IFERROR('Monthly P&amp;L, cash and runway'!M27/'Monthly P&amp;L, cash and runway'!M16,"")</f>
        <v>0.5783594332587622</v>
      </c>
      <c r="N28" s="15">
        <f>IFERROR('Monthly P&amp;L, cash and runway'!N27/'Monthly P&amp;L, cash and runway'!N16,"")</f>
        <v>0.575737724916133</v>
      </c>
      <c r="O28" s="15">
        <f>IFERROR('Monthly P&amp;L, cash and runway'!O27/'Monthly P&amp;L, cash and runway'!O16,"")</f>
        <v>0.5785067587000288</v>
      </c>
      <c r="P28" s="15">
        <f>IFERROR('Monthly P&amp;L, cash and runway'!P27/'Monthly P&amp;L, cash and runway'!P16,"")</f>
        <v>0.5763750613647521</v>
      </c>
      <c r="Q28" s="15">
        <f>IFERROR('Monthly P&amp;L, cash and runway'!Q27/'Monthly P&amp;L, cash and runway'!Q16,"")</f>
        <v>0.5785992509363296</v>
      </c>
      <c r="R28" s="15">
        <f>IFERROR('Monthly P&amp;L, cash and runway'!R27/'Monthly P&amp;L, cash and runway'!R16,"")</f>
        <v>0.5768042719244199</v>
      </c>
      <c r="S28" s="15">
        <f>IFERROR('Monthly P&amp;L, cash and runway'!S27/'Monthly P&amp;L, cash and runway'!S16,"")</f>
        <v>0.5762724168912847</v>
      </c>
      <c r="T28" s="15">
        <f>IFERROR('Monthly P&amp;L, cash and runway'!T27/'Monthly P&amp;L, cash and runway'!T16,"")</f>
        <v>0.5779246920006941</v>
      </c>
      <c r="U28" s="15">
        <f>IFERROR('Monthly P&amp;L, cash and runway'!U27/'Monthly P&amp;L, cash and runway'!U16,"")</f>
        <v>0.5766138364779875</v>
      </c>
      <c r="V28" s="15">
        <f>IFERROR('Monthly P&amp;L, cash and runway'!V27/'Monthly P&amp;L, cash and runway'!V16,"")</f>
        <v>0.578055504727051</v>
      </c>
      <c r="W28" s="15">
        <f>IFERROR('Monthly P&amp;L, cash and runway'!W27/'Monthly P&amp;L, cash and runway'!W16,"")</f>
        <v>0.5768793850454228</v>
      </c>
      <c r="X28" s="15">
        <f>IFERROR('Monthly P&amp;L, cash and runway'!X27/'Monthly P&amp;L, cash and runway'!X16,"")</f>
        <v>0.5781580307357541</v>
      </c>
      <c r="Y28" s="15">
        <f>IFERROR('Monthly P&amp;L, cash and runway'!Y27/'Monthly P&amp;L, cash and runway'!Y16,"")</f>
        <v>0.5770918238993711</v>
      </c>
    </row>
    <row r="29">
      <c r="A29" t="inlineStr" s="10">
        <is>
          <t xml:space="preserve">Founder salary</t>
        </is>
      </c>
      <c r="B29" s="12">
        <f>IF(IF(IF(ISERROR('Monthly P&amp;L, cash and runway'!B5&gt;=1),'Monthly P&amp;L, cash and runway'!B5&gt;=1,IF('Monthly P&amp;L, cash and runway'!B5="","",'Monthly P&amp;L, cash and runway'!B5&gt;=1))="",FALSE,IF(ISERROR('Monthly P&amp;L, cash and runway'!B5&gt;=1),'Monthly P&amp;L, cash and runway'!B5&gt;=1,IF('Monthly P&amp;L, cash and runway'!B5="","",'Monthly P&amp;L, cash and runway'!B5&gt;=1))),IF('Model inputs'!B21="","",'Model inputs'!B21),0)</f>
        <v>2000</v>
      </c>
      <c r="C29" s="12">
        <f>IF(IF(IF(ISERROR('Monthly P&amp;L, cash and runway'!C5&gt;=1),'Monthly P&amp;L, cash and runway'!C5&gt;=1,IF('Monthly P&amp;L, cash and runway'!C5="","",'Monthly P&amp;L, cash and runway'!C5&gt;=1))="",FALSE,IF(ISERROR('Monthly P&amp;L, cash and runway'!C5&gt;=1),'Monthly P&amp;L, cash and runway'!C5&gt;=1,IF('Monthly P&amp;L, cash and runway'!C5="","",'Monthly P&amp;L, cash and runway'!C5&gt;=1))),IF('Model inputs'!B21="","",'Model inputs'!B21),0)</f>
        <v>2000</v>
      </c>
      <c r="D29" s="12">
        <f>IF(IF(IF(ISERROR('Monthly P&amp;L, cash and runway'!D5&gt;=1),'Monthly P&amp;L, cash and runway'!D5&gt;=1,IF('Monthly P&amp;L, cash and runway'!D5="","",'Monthly P&amp;L, cash and runway'!D5&gt;=1))="",FALSE,IF(ISERROR('Monthly P&amp;L, cash and runway'!D5&gt;=1),'Monthly P&amp;L, cash and runway'!D5&gt;=1,IF('Monthly P&amp;L, cash and runway'!D5="","",'Monthly P&amp;L, cash and runway'!D5&gt;=1))),IF('Model inputs'!B21="","",'Model inputs'!B21),0)</f>
        <v>2000</v>
      </c>
      <c r="E29" s="12">
        <f>IF(IF(IF(ISERROR('Monthly P&amp;L, cash and runway'!E5&gt;=1),'Monthly P&amp;L, cash and runway'!E5&gt;=1,IF('Monthly P&amp;L, cash and runway'!E5="","",'Monthly P&amp;L, cash and runway'!E5&gt;=1))="",FALSE,IF(ISERROR('Monthly P&amp;L, cash and runway'!E5&gt;=1),'Monthly P&amp;L, cash and runway'!E5&gt;=1,IF('Monthly P&amp;L, cash and runway'!E5="","",'Monthly P&amp;L, cash and runway'!E5&gt;=1))),IF('Model inputs'!B21="","",'Model inputs'!B21),0)</f>
        <v>2000</v>
      </c>
      <c r="F29" s="12">
        <f>IF(IF(IF(ISERROR('Monthly P&amp;L, cash and runway'!F5&gt;=1),'Monthly P&amp;L, cash and runway'!F5&gt;=1,IF('Monthly P&amp;L, cash and runway'!F5="","",'Monthly P&amp;L, cash and runway'!F5&gt;=1))="",FALSE,IF(ISERROR('Monthly P&amp;L, cash and runway'!F5&gt;=1),'Monthly P&amp;L, cash and runway'!F5&gt;=1,IF('Monthly P&amp;L, cash and runway'!F5="","",'Monthly P&amp;L, cash and runway'!F5&gt;=1))),IF('Model inputs'!B21="","",'Model inputs'!B21),0)</f>
        <v>2000</v>
      </c>
      <c r="G29" s="12">
        <f>IF(IF(IF(ISERROR('Monthly P&amp;L, cash and runway'!G5&gt;=1),'Monthly P&amp;L, cash and runway'!G5&gt;=1,IF('Monthly P&amp;L, cash and runway'!G5="","",'Monthly P&amp;L, cash and runway'!G5&gt;=1))="",FALSE,IF(ISERROR('Monthly P&amp;L, cash and runway'!G5&gt;=1),'Monthly P&amp;L, cash and runway'!G5&gt;=1,IF('Monthly P&amp;L, cash and runway'!G5="","",'Monthly P&amp;L, cash and runway'!G5&gt;=1))),IF('Model inputs'!B21="","",'Model inputs'!B21),0)</f>
        <v>2000</v>
      </c>
      <c r="H29" s="12">
        <f>IF(IF(IF(ISERROR('Monthly P&amp;L, cash and runway'!H5&gt;=1),'Monthly P&amp;L, cash and runway'!H5&gt;=1,IF('Monthly P&amp;L, cash and runway'!H5="","",'Monthly P&amp;L, cash and runway'!H5&gt;=1))="",FALSE,IF(ISERROR('Monthly P&amp;L, cash and runway'!H5&gt;=1),'Monthly P&amp;L, cash and runway'!H5&gt;=1,IF('Monthly P&amp;L, cash and runway'!H5="","",'Monthly P&amp;L, cash and runway'!H5&gt;=1))),IF('Model inputs'!B21="","",'Model inputs'!B21),0)</f>
        <v>2000</v>
      </c>
      <c r="I29" s="12">
        <f>IF(IF(IF(ISERROR('Monthly P&amp;L, cash and runway'!I5&gt;=1),'Monthly P&amp;L, cash and runway'!I5&gt;=1,IF('Monthly P&amp;L, cash and runway'!I5="","",'Monthly P&amp;L, cash and runway'!I5&gt;=1))="",FALSE,IF(ISERROR('Monthly P&amp;L, cash and runway'!I5&gt;=1),'Monthly P&amp;L, cash and runway'!I5&gt;=1,IF('Monthly P&amp;L, cash and runway'!I5="","",'Monthly P&amp;L, cash and runway'!I5&gt;=1))),IF('Model inputs'!B21="","",'Model inputs'!B21),0)</f>
        <v>2000</v>
      </c>
      <c r="J29" s="12">
        <f>IF(IF(IF(ISERROR('Monthly P&amp;L, cash and runway'!J5&gt;=1),'Monthly P&amp;L, cash and runway'!J5&gt;=1,IF('Monthly P&amp;L, cash and runway'!J5="","",'Monthly P&amp;L, cash and runway'!J5&gt;=1))="",FALSE,IF(ISERROR('Monthly P&amp;L, cash and runway'!J5&gt;=1),'Monthly P&amp;L, cash and runway'!J5&gt;=1,IF('Monthly P&amp;L, cash and runway'!J5="","",'Monthly P&amp;L, cash and runway'!J5&gt;=1))),IF('Model inputs'!B21="","",'Model inputs'!B21),0)</f>
        <v>2000</v>
      </c>
      <c r="K29" s="12">
        <f>IF(IF(IF(ISERROR('Monthly P&amp;L, cash and runway'!K5&gt;=1),'Monthly P&amp;L, cash and runway'!K5&gt;=1,IF('Monthly P&amp;L, cash and runway'!K5="","",'Monthly P&amp;L, cash and runway'!K5&gt;=1))="",FALSE,IF(ISERROR('Monthly P&amp;L, cash and runway'!K5&gt;=1),'Monthly P&amp;L, cash and runway'!K5&gt;=1,IF('Monthly P&amp;L, cash and runway'!K5="","",'Monthly P&amp;L, cash and runway'!K5&gt;=1))),IF('Model inputs'!B21="","",'Model inputs'!B21),0)</f>
        <v>2000</v>
      </c>
      <c r="L29" s="12">
        <f>IF(IF(IF(ISERROR('Monthly P&amp;L, cash and runway'!L5&gt;=1),'Monthly P&amp;L, cash and runway'!L5&gt;=1,IF('Monthly P&amp;L, cash and runway'!L5="","",'Monthly P&amp;L, cash and runway'!L5&gt;=1))="",FALSE,IF(ISERROR('Monthly P&amp;L, cash and runway'!L5&gt;=1),'Monthly P&amp;L, cash and runway'!L5&gt;=1,IF('Monthly P&amp;L, cash and runway'!L5="","",'Monthly P&amp;L, cash and runway'!L5&gt;=1))),IF('Model inputs'!B21="","",'Model inputs'!B21),0)</f>
        <v>2000</v>
      </c>
      <c r="M29" s="12">
        <f>IF(IF(IF(ISERROR('Monthly P&amp;L, cash and runway'!M5&gt;=1),'Monthly P&amp;L, cash and runway'!M5&gt;=1,IF('Monthly P&amp;L, cash and runway'!M5="","",'Monthly P&amp;L, cash and runway'!M5&gt;=1))="",FALSE,IF(ISERROR('Monthly P&amp;L, cash and runway'!M5&gt;=1),'Monthly P&amp;L, cash and runway'!M5&gt;=1,IF('Monthly P&amp;L, cash and runway'!M5="","",'Monthly P&amp;L, cash and runway'!M5&gt;=1))),IF('Model inputs'!B21="","",'Model inputs'!B21),0)</f>
        <v>2000</v>
      </c>
      <c r="N29" s="12">
        <f>IF(IF(IF(ISERROR('Monthly P&amp;L, cash and runway'!N5&gt;=1),'Monthly P&amp;L, cash and runway'!N5&gt;=1,IF('Monthly P&amp;L, cash and runway'!N5="","",'Monthly P&amp;L, cash and runway'!N5&gt;=1))="",FALSE,IF(ISERROR('Monthly P&amp;L, cash and runway'!N5&gt;=1),'Monthly P&amp;L, cash and runway'!N5&gt;=1,IF('Monthly P&amp;L, cash and runway'!N5="","",'Monthly P&amp;L, cash and runway'!N5&gt;=1))),IF('Model inputs'!B21="","",'Model inputs'!B21),0)</f>
        <v>2000</v>
      </c>
      <c r="O29" s="12">
        <f>IF(IF(IF(ISERROR('Monthly P&amp;L, cash and runway'!O5&gt;=1),'Monthly P&amp;L, cash and runway'!O5&gt;=1,IF('Monthly P&amp;L, cash and runway'!O5="","",'Monthly P&amp;L, cash and runway'!O5&gt;=1))="",FALSE,IF(ISERROR('Monthly P&amp;L, cash and runway'!O5&gt;=1),'Monthly P&amp;L, cash and runway'!O5&gt;=1,IF('Monthly P&amp;L, cash and runway'!O5="","",'Monthly P&amp;L, cash and runway'!O5&gt;=1))),IF('Model inputs'!B21="","",'Model inputs'!B21),0)</f>
        <v>2000</v>
      </c>
      <c r="P29" s="12">
        <f>IF(IF(IF(ISERROR('Monthly P&amp;L, cash and runway'!P5&gt;=1),'Monthly P&amp;L, cash and runway'!P5&gt;=1,IF('Monthly P&amp;L, cash and runway'!P5="","",'Monthly P&amp;L, cash and runway'!P5&gt;=1))="",FALSE,IF(ISERROR('Monthly P&amp;L, cash and runway'!P5&gt;=1),'Monthly P&amp;L, cash and runway'!P5&gt;=1,IF('Monthly P&amp;L, cash and runway'!P5="","",'Monthly P&amp;L, cash and runway'!P5&gt;=1))),IF('Model inputs'!B21="","",'Model inputs'!B21),0)</f>
        <v>2000</v>
      </c>
      <c r="Q29" s="12">
        <f>IF(IF(IF(ISERROR('Monthly P&amp;L, cash and runway'!Q5&gt;=1),'Monthly P&amp;L, cash and runway'!Q5&gt;=1,IF('Monthly P&amp;L, cash and runway'!Q5="","",'Monthly P&amp;L, cash and runway'!Q5&gt;=1))="",FALSE,IF(ISERROR('Monthly P&amp;L, cash and runway'!Q5&gt;=1),'Monthly P&amp;L, cash and runway'!Q5&gt;=1,IF('Monthly P&amp;L, cash and runway'!Q5="","",'Monthly P&amp;L, cash and runway'!Q5&gt;=1))),IF('Model inputs'!B21="","",'Model inputs'!B21),0)</f>
        <v>2000</v>
      </c>
      <c r="R29" s="12">
        <f>IF(IF(IF(ISERROR('Monthly P&amp;L, cash and runway'!R5&gt;=1),'Monthly P&amp;L, cash and runway'!R5&gt;=1,IF('Monthly P&amp;L, cash and runway'!R5="","",'Monthly P&amp;L, cash and runway'!R5&gt;=1))="",FALSE,IF(ISERROR('Monthly P&amp;L, cash and runway'!R5&gt;=1),'Monthly P&amp;L, cash and runway'!R5&gt;=1,IF('Monthly P&amp;L, cash and runway'!R5="","",'Monthly P&amp;L, cash and runway'!R5&gt;=1))),IF('Model inputs'!B21="","",'Model inputs'!B21),0)</f>
        <v>2000</v>
      </c>
      <c r="S29" s="12">
        <f>IF(IF(IF(ISERROR('Monthly P&amp;L, cash and runway'!S5&gt;=1),'Monthly P&amp;L, cash and runway'!S5&gt;=1,IF('Monthly P&amp;L, cash and runway'!S5="","",'Monthly P&amp;L, cash and runway'!S5&gt;=1))="",FALSE,IF(ISERROR('Monthly P&amp;L, cash and runway'!S5&gt;=1),'Monthly P&amp;L, cash and runway'!S5&gt;=1,IF('Monthly P&amp;L, cash and runway'!S5="","",'Monthly P&amp;L, cash and runway'!S5&gt;=1))),IF('Model inputs'!B21="","",'Model inputs'!B21),0)</f>
        <v>2000</v>
      </c>
      <c r="T29" s="12">
        <f>IF(IF(IF(ISERROR('Monthly P&amp;L, cash and runway'!T5&gt;=1),'Monthly P&amp;L, cash and runway'!T5&gt;=1,IF('Monthly P&amp;L, cash and runway'!T5="","",'Monthly P&amp;L, cash and runway'!T5&gt;=1))="",FALSE,IF(ISERROR('Monthly P&amp;L, cash and runway'!T5&gt;=1),'Monthly P&amp;L, cash and runway'!T5&gt;=1,IF('Monthly P&amp;L, cash and runway'!T5="","",'Monthly P&amp;L, cash and runway'!T5&gt;=1))),IF('Model inputs'!B21="","",'Model inputs'!B21),0)</f>
        <v>2000</v>
      </c>
      <c r="U29" s="12">
        <f>IF(IF(IF(ISERROR('Monthly P&amp;L, cash and runway'!U5&gt;=1),'Monthly P&amp;L, cash and runway'!U5&gt;=1,IF('Monthly P&amp;L, cash and runway'!U5="","",'Monthly P&amp;L, cash and runway'!U5&gt;=1))="",FALSE,IF(ISERROR('Monthly P&amp;L, cash and runway'!U5&gt;=1),'Monthly P&amp;L, cash and runway'!U5&gt;=1,IF('Monthly P&amp;L, cash and runway'!U5="","",'Monthly P&amp;L, cash and runway'!U5&gt;=1))),IF('Model inputs'!B21="","",'Model inputs'!B21),0)</f>
        <v>2000</v>
      </c>
      <c r="V29" s="12">
        <f>IF(IF(IF(ISERROR('Monthly P&amp;L, cash and runway'!V5&gt;=1),'Monthly P&amp;L, cash and runway'!V5&gt;=1,IF('Monthly P&amp;L, cash and runway'!V5="","",'Monthly P&amp;L, cash and runway'!V5&gt;=1))="",FALSE,IF(ISERROR('Monthly P&amp;L, cash and runway'!V5&gt;=1),'Monthly P&amp;L, cash and runway'!V5&gt;=1,IF('Monthly P&amp;L, cash and runway'!V5="","",'Monthly P&amp;L, cash and runway'!V5&gt;=1))),IF('Model inputs'!B21="","",'Model inputs'!B21),0)</f>
        <v>2000</v>
      </c>
      <c r="W29" s="12">
        <f>IF(IF(IF(ISERROR('Monthly P&amp;L, cash and runway'!W5&gt;=1),'Monthly P&amp;L, cash and runway'!W5&gt;=1,IF('Monthly P&amp;L, cash and runway'!W5="","",'Monthly P&amp;L, cash and runway'!W5&gt;=1))="",FALSE,IF(ISERROR('Monthly P&amp;L, cash and runway'!W5&gt;=1),'Monthly P&amp;L, cash and runway'!W5&gt;=1,IF('Monthly P&amp;L, cash and runway'!W5="","",'Monthly P&amp;L, cash and runway'!W5&gt;=1))),IF('Model inputs'!B21="","",'Model inputs'!B21),0)</f>
        <v>2000</v>
      </c>
      <c r="X29" s="12">
        <f>IF(IF(IF(ISERROR('Monthly P&amp;L, cash and runway'!X5&gt;=1),'Monthly P&amp;L, cash and runway'!X5&gt;=1,IF('Monthly P&amp;L, cash and runway'!X5="","",'Monthly P&amp;L, cash and runway'!X5&gt;=1))="",FALSE,IF(ISERROR('Monthly P&amp;L, cash and runway'!X5&gt;=1),'Monthly P&amp;L, cash and runway'!X5&gt;=1,IF('Monthly P&amp;L, cash and runway'!X5="","",'Monthly P&amp;L, cash and runway'!X5&gt;=1))),IF('Model inputs'!B21="","",'Model inputs'!B21),0)</f>
        <v>2000</v>
      </c>
      <c r="Y29" s="12">
        <f>IF(IF(IF(ISERROR('Monthly P&amp;L, cash and runway'!Y5&gt;=1),'Monthly P&amp;L, cash and runway'!Y5&gt;=1,IF('Monthly P&amp;L, cash and runway'!Y5="","",'Monthly P&amp;L, cash and runway'!Y5&gt;=1))="",FALSE,IF(ISERROR('Monthly P&amp;L, cash and runway'!Y5&gt;=1),'Monthly P&amp;L, cash and runway'!Y5&gt;=1,IF('Monthly P&amp;L, cash and runway'!Y5="","",'Monthly P&amp;L, cash and runway'!Y5&gt;=1))),IF('Model inputs'!B21="","",'Model inputs'!B21),0)</f>
        <v>2000</v>
      </c>
    </row>
    <row r="30">
      <c r="A30" t="inlineStr" s="10">
        <is>
          <t xml:space="preserve">Tools and SaaS</t>
        </is>
      </c>
      <c r="B30" s="12">
        <f>IF(IF(IF(ISERROR('Monthly P&amp;L, cash and runway'!B5&gt;=1),'Monthly P&amp;L, cash and runway'!B5&gt;=1,IF('Monthly P&amp;L, cash and runway'!B5="","",'Monthly P&amp;L, cash and runway'!B5&gt;=1))="",FALSE,IF(ISERROR('Monthly P&amp;L, cash and runway'!B5&gt;=1),'Monthly P&amp;L, cash and runway'!B5&gt;=1,IF('Monthly P&amp;L, cash and runway'!B5="","",'Monthly P&amp;L, cash and runway'!B5&gt;=1))),IF('Model inputs'!B44="","",'Model inputs'!B44),0)</f>
        <v>100</v>
      </c>
      <c r="C30" s="12">
        <f>IF(IF(IF(ISERROR('Monthly P&amp;L, cash and runway'!C5&gt;=1),'Monthly P&amp;L, cash and runway'!C5&gt;=1,IF('Monthly P&amp;L, cash and runway'!C5="","",'Monthly P&amp;L, cash and runway'!C5&gt;=1))="",FALSE,IF(ISERROR('Monthly P&amp;L, cash and runway'!C5&gt;=1),'Monthly P&amp;L, cash and runway'!C5&gt;=1,IF('Monthly P&amp;L, cash and runway'!C5="","",'Monthly P&amp;L, cash and runway'!C5&gt;=1))),IF('Model inputs'!B44="","",'Model inputs'!B44),0)</f>
        <v>100</v>
      </c>
      <c r="D30" s="12">
        <f>IF(IF(IF(ISERROR('Monthly P&amp;L, cash and runway'!D5&gt;=1),'Monthly P&amp;L, cash and runway'!D5&gt;=1,IF('Monthly P&amp;L, cash and runway'!D5="","",'Monthly P&amp;L, cash and runway'!D5&gt;=1))="",FALSE,IF(ISERROR('Monthly P&amp;L, cash and runway'!D5&gt;=1),'Monthly P&amp;L, cash and runway'!D5&gt;=1,IF('Monthly P&amp;L, cash and runway'!D5="","",'Monthly P&amp;L, cash and runway'!D5&gt;=1))),IF('Model inputs'!B44="","",'Model inputs'!B44),0)</f>
        <v>100</v>
      </c>
      <c r="E30" s="12">
        <f>IF(IF(IF(ISERROR('Monthly P&amp;L, cash and runway'!E5&gt;=1),'Monthly P&amp;L, cash and runway'!E5&gt;=1,IF('Monthly P&amp;L, cash and runway'!E5="","",'Monthly P&amp;L, cash and runway'!E5&gt;=1))="",FALSE,IF(ISERROR('Monthly P&amp;L, cash and runway'!E5&gt;=1),'Monthly P&amp;L, cash and runway'!E5&gt;=1,IF('Monthly P&amp;L, cash and runway'!E5="","",'Monthly P&amp;L, cash and runway'!E5&gt;=1))),IF('Model inputs'!B44="","",'Model inputs'!B44),0)</f>
        <v>100</v>
      </c>
      <c r="F30" s="12">
        <f>IF(IF(IF(ISERROR('Monthly P&amp;L, cash and runway'!F5&gt;=1),'Monthly P&amp;L, cash and runway'!F5&gt;=1,IF('Monthly P&amp;L, cash and runway'!F5="","",'Monthly P&amp;L, cash and runway'!F5&gt;=1))="",FALSE,IF(ISERROR('Monthly P&amp;L, cash and runway'!F5&gt;=1),'Monthly P&amp;L, cash and runway'!F5&gt;=1,IF('Monthly P&amp;L, cash and runway'!F5="","",'Monthly P&amp;L, cash and runway'!F5&gt;=1))),IF('Model inputs'!B44="","",'Model inputs'!B44),0)</f>
        <v>100</v>
      </c>
      <c r="G30" s="12">
        <f>IF(IF(IF(ISERROR('Monthly P&amp;L, cash and runway'!G5&gt;=1),'Monthly P&amp;L, cash and runway'!G5&gt;=1,IF('Monthly P&amp;L, cash and runway'!G5="","",'Monthly P&amp;L, cash and runway'!G5&gt;=1))="",FALSE,IF(ISERROR('Monthly P&amp;L, cash and runway'!G5&gt;=1),'Monthly P&amp;L, cash and runway'!G5&gt;=1,IF('Monthly P&amp;L, cash and runway'!G5="","",'Monthly P&amp;L, cash and runway'!G5&gt;=1))),IF('Model inputs'!B44="","",'Model inputs'!B44),0)</f>
        <v>100</v>
      </c>
      <c r="H30" s="12">
        <f>IF(IF(IF(ISERROR('Monthly P&amp;L, cash and runway'!H5&gt;=1),'Monthly P&amp;L, cash and runway'!H5&gt;=1,IF('Monthly P&amp;L, cash and runway'!H5="","",'Monthly P&amp;L, cash and runway'!H5&gt;=1))="",FALSE,IF(ISERROR('Monthly P&amp;L, cash and runway'!H5&gt;=1),'Monthly P&amp;L, cash and runway'!H5&gt;=1,IF('Monthly P&amp;L, cash and runway'!H5="","",'Monthly P&amp;L, cash and runway'!H5&gt;=1))),IF('Model inputs'!B44="","",'Model inputs'!B44),0)</f>
        <v>100</v>
      </c>
      <c r="I30" s="12">
        <f>IF(IF(IF(ISERROR('Monthly P&amp;L, cash and runway'!I5&gt;=1),'Monthly P&amp;L, cash and runway'!I5&gt;=1,IF('Monthly P&amp;L, cash and runway'!I5="","",'Monthly P&amp;L, cash and runway'!I5&gt;=1))="",FALSE,IF(ISERROR('Monthly P&amp;L, cash and runway'!I5&gt;=1),'Monthly P&amp;L, cash and runway'!I5&gt;=1,IF('Monthly P&amp;L, cash and runway'!I5="","",'Monthly P&amp;L, cash and runway'!I5&gt;=1))),IF('Model inputs'!B44="","",'Model inputs'!B44),0)</f>
        <v>100</v>
      </c>
      <c r="J30" s="12">
        <f>IF(IF(IF(ISERROR('Monthly P&amp;L, cash and runway'!J5&gt;=1),'Monthly P&amp;L, cash and runway'!J5&gt;=1,IF('Monthly P&amp;L, cash and runway'!J5="","",'Monthly P&amp;L, cash and runway'!J5&gt;=1))="",FALSE,IF(ISERROR('Monthly P&amp;L, cash and runway'!J5&gt;=1),'Monthly P&amp;L, cash and runway'!J5&gt;=1,IF('Monthly P&amp;L, cash and runway'!J5="","",'Monthly P&amp;L, cash and runway'!J5&gt;=1))),IF('Model inputs'!B44="","",'Model inputs'!B44),0)</f>
        <v>100</v>
      </c>
      <c r="K30" s="12">
        <f>IF(IF(IF(ISERROR('Monthly P&amp;L, cash and runway'!K5&gt;=1),'Monthly P&amp;L, cash and runway'!K5&gt;=1,IF('Monthly P&amp;L, cash and runway'!K5="","",'Monthly P&amp;L, cash and runway'!K5&gt;=1))="",FALSE,IF(ISERROR('Monthly P&amp;L, cash and runway'!K5&gt;=1),'Monthly P&amp;L, cash and runway'!K5&gt;=1,IF('Monthly P&amp;L, cash and runway'!K5="","",'Monthly P&amp;L, cash and runway'!K5&gt;=1))),IF('Model inputs'!B44="","",'Model inputs'!B44),0)</f>
        <v>100</v>
      </c>
      <c r="L30" s="12">
        <f>IF(IF(IF(ISERROR('Monthly P&amp;L, cash and runway'!L5&gt;=1),'Monthly P&amp;L, cash and runway'!L5&gt;=1,IF('Monthly P&amp;L, cash and runway'!L5="","",'Monthly P&amp;L, cash and runway'!L5&gt;=1))="",FALSE,IF(ISERROR('Monthly P&amp;L, cash and runway'!L5&gt;=1),'Monthly P&amp;L, cash and runway'!L5&gt;=1,IF('Monthly P&amp;L, cash and runway'!L5="","",'Monthly P&amp;L, cash and runway'!L5&gt;=1))),IF('Model inputs'!B44="","",'Model inputs'!B44),0)</f>
        <v>100</v>
      </c>
      <c r="M30" s="12">
        <f>IF(IF(IF(ISERROR('Monthly P&amp;L, cash and runway'!M5&gt;=1),'Monthly P&amp;L, cash and runway'!M5&gt;=1,IF('Monthly P&amp;L, cash and runway'!M5="","",'Monthly P&amp;L, cash and runway'!M5&gt;=1))="",FALSE,IF(ISERROR('Monthly P&amp;L, cash and runway'!M5&gt;=1),'Monthly P&amp;L, cash and runway'!M5&gt;=1,IF('Monthly P&amp;L, cash and runway'!M5="","",'Monthly P&amp;L, cash and runway'!M5&gt;=1))),IF('Model inputs'!B44="","",'Model inputs'!B44),0)</f>
        <v>100</v>
      </c>
      <c r="N30" s="12">
        <f>IF(IF(IF(ISERROR('Monthly P&amp;L, cash and runway'!N5&gt;=1),'Monthly P&amp;L, cash and runway'!N5&gt;=1,IF('Monthly P&amp;L, cash and runway'!N5="","",'Monthly P&amp;L, cash and runway'!N5&gt;=1))="",FALSE,IF(ISERROR('Monthly P&amp;L, cash and runway'!N5&gt;=1),'Monthly P&amp;L, cash and runway'!N5&gt;=1,IF('Monthly P&amp;L, cash and runway'!N5="","",'Monthly P&amp;L, cash and runway'!N5&gt;=1))),IF('Model inputs'!B44="","",'Model inputs'!B44),0)</f>
        <v>100</v>
      </c>
      <c r="O30" s="12">
        <f>IF(IF(IF(ISERROR('Monthly P&amp;L, cash and runway'!O5&gt;=1),'Monthly P&amp;L, cash and runway'!O5&gt;=1,IF('Monthly P&amp;L, cash and runway'!O5="","",'Monthly P&amp;L, cash and runway'!O5&gt;=1))="",FALSE,IF(ISERROR('Monthly P&amp;L, cash and runway'!O5&gt;=1),'Monthly P&amp;L, cash and runway'!O5&gt;=1,IF('Monthly P&amp;L, cash and runway'!O5="","",'Monthly P&amp;L, cash and runway'!O5&gt;=1))),IF('Model inputs'!B44="","",'Model inputs'!B44),0)</f>
        <v>100</v>
      </c>
      <c r="P30" s="12">
        <f>IF(IF(IF(ISERROR('Monthly P&amp;L, cash and runway'!P5&gt;=1),'Monthly P&amp;L, cash and runway'!P5&gt;=1,IF('Monthly P&amp;L, cash and runway'!P5="","",'Monthly P&amp;L, cash and runway'!P5&gt;=1))="",FALSE,IF(ISERROR('Monthly P&amp;L, cash and runway'!P5&gt;=1),'Monthly P&amp;L, cash and runway'!P5&gt;=1,IF('Monthly P&amp;L, cash and runway'!P5="","",'Monthly P&amp;L, cash and runway'!P5&gt;=1))),IF('Model inputs'!B44="","",'Model inputs'!B44),0)</f>
        <v>100</v>
      </c>
      <c r="Q30" s="12">
        <f>IF(IF(IF(ISERROR('Monthly P&amp;L, cash and runway'!Q5&gt;=1),'Monthly P&amp;L, cash and runway'!Q5&gt;=1,IF('Monthly P&amp;L, cash and runway'!Q5="","",'Monthly P&amp;L, cash and runway'!Q5&gt;=1))="",FALSE,IF(ISERROR('Monthly P&amp;L, cash and runway'!Q5&gt;=1),'Monthly P&amp;L, cash and runway'!Q5&gt;=1,IF('Monthly P&amp;L, cash and runway'!Q5="","",'Monthly P&amp;L, cash and runway'!Q5&gt;=1))),IF('Model inputs'!B44="","",'Model inputs'!B44),0)</f>
        <v>100</v>
      </c>
      <c r="R30" s="12">
        <f>IF(IF(IF(ISERROR('Monthly P&amp;L, cash and runway'!R5&gt;=1),'Monthly P&amp;L, cash and runway'!R5&gt;=1,IF('Monthly P&amp;L, cash and runway'!R5="","",'Monthly P&amp;L, cash and runway'!R5&gt;=1))="",FALSE,IF(ISERROR('Monthly P&amp;L, cash and runway'!R5&gt;=1),'Monthly P&amp;L, cash and runway'!R5&gt;=1,IF('Monthly P&amp;L, cash and runway'!R5="","",'Monthly P&amp;L, cash and runway'!R5&gt;=1))),IF('Model inputs'!B44="","",'Model inputs'!B44),0)</f>
        <v>100</v>
      </c>
      <c r="S30" s="12">
        <f>IF(IF(IF(ISERROR('Monthly P&amp;L, cash and runway'!S5&gt;=1),'Monthly P&amp;L, cash and runway'!S5&gt;=1,IF('Monthly P&amp;L, cash and runway'!S5="","",'Monthly P&amp;L, cash and runway'!S5&gt;=1))="",FALSE,IF(ISERROR('Monthly P&amp;L, cash and runway'!S5&gt;=1),'Monthly P&amp;L, cash and runway'!S5&gt;=1,IF('Monthly P&amp;L, cash and runway'!S5="","",'Monthly P&amp;L, cash and runway'!S5&gt;=1))),IF('Model inputs'!B44="","",'Model inputs'!B44),0)</f>
        <v>100</v>
      </c>
      <c r="T30" s="12">
        <f>IF(IF(IF(ISERROR('Monthly P&amp;L, cash and runway'!T5&gt;=1),'Monthly P&amp;L, cash and runway'!T5&gt;=1,IF('Monthly P&amp;L, cash and runway'!T5="","",'Monthly P&amp;L, cash and runway'!T5&gt;=1))="",FALSE,IF(ISERROR('Monthly P&amp;L, cash and runway'!T5&gt;=1),'Monthly P&amp;L, cash and runway'!T5&gt;=1,IF('Monthly P&amp;L, cash and runway'!T5="","",'Monthly P&amp;L, cash and runway'!T5&gt;=1))),IF('Model inputs'!B44="","",'Model inputs'!B44),0)</f>
        <v>100</v>
      </c>
      <c r="U30" s="12">
        <f>IF(IF(IF(ISERROR('Monthly P&amp;L, cash and runway'!U5&gt;=1),'Monthly P&amp;L, cash and runway'!U5&gt;=1,IF('Monthly P&amp;L, cash and runway'!U5="","",'Monthly P&amp;L, cash and runway'!U5&gt;=1))="",FALSE,IF(ISERROR('Monthly P&amp;L, cash and runway'!U5&gt;=1),'Monthly P&amp;L, cash and runway'!U5&gt;=1,IF('Monthly P&amp;L, cash and runway'!U5="","",'Monthly P&amp;L, cash and runway'!U5&gt;=1))),IF('Model inputs'!B44="","",'Model inputs'!B44),0)</f>
        <v>100</v>
      </c>
      <c r="V30" s="12">
        <f>IF(IF(IF(ISERROR('Monthly P&amp;L, cash and runway'!V5&gt;=1),'Monthly P&amp;L, cash and runway'!V5&gt;=1,IF('Monthly P&amp;L, cash and runway'!V5="","",'Monthly P&amp;L, cash and runway'!V5&gt;=1))="",FALSE,IF(ISERROR('Monthly P&amp;L, cash and runway'!V5&gt;=1),'Monthly P&amp;L, cash and runway'!V5&gt;=1,IF('Monthly P&amp;L, cash and runway'!V5="","",'Monthly P&amp;L, cash and runway'!V5&gt;=1))),IF('Model inputs'!B44="","",'Model inputs'!B44),0)</f>
        <v>100</v>
      </c>
      <c r="W30" s="12">
        <f>IF(IF(IF(ISERROR('Monthly P&amp;L, cash and runway'!W5&gt;=1),'Monthly P&amp;L, cash and runway'!W5&gt;=1,IF('Monthly P&amp;L, cash and runway'!W5="","",'Monthly P&amp;L, cash and runway'!W5&gt;=1))="",FALSE,IF(ISERROR('Monthly P&amp;L, cash and runway'!W5&gt;=1),'Monthly P&amp;L, cash and runway'!W5&gt;=1,IF('Monthly P&amp;L, cash and runway'!W5="","",'Monthly P&amp;L, cash and runway'!W5&gt;=1))),IF('Model inputs'!B44="","",'Model inputs'!B44),0)</f>
        <v>100</v>
      </c>
      <c r="X30" s="12">
        <f>IF(IF(IF(ISERROR('Monthly P&amp;L, cash and runway'!X5&gt;=1),'Monthly P&amp;L, cash and runway'!X5&gt;=1,IF('Monthly P&amp;L, cash and runway'!X5="","",'Monthly P&amp;L, cash and runway'!X5&gt;=1))="",FALSE,IF(ISERROR('Monthly P&amp;L, cash and runway'!X5&gt;=1),'Monthly P&amp;L, cash and runway'!X5&gt;=1,IF('Monthly P&amp;L, cash and runway'!X5="","",'Monthly P&amp;L, cash and runway'!X5&gt;=1))),IF('Model inputs'!B44="","",'Model inputs'!B44),0)</f>
        <v>100</v>
      </c>
      <c r="Y30" s="12">
        <f>IF(IF(IF(ISERROR('Monthly P&amp;L, cash and runway'!Y5&gt;=1),'Monthly P&amp;L, cash and runway'!Y5&gt;=1,IF('Monthly P&amp;L, cash and runway'!Y5="","",'Monthly P&amp;L, cash and runway'!Y5&gt;=1))="",FALSE,IF(ISERROR('Monthly P&amp;L, cash and runway'!Y5&gt;=1),'Monthly P&amp;L, cash and runway'!Y5&gt;=1,IF('Monthly P&amp;L, cash and runway'!Y5="","",'Monthly P&amp;L, cash and runway'!Y5&gt;=1))),IF('Model inputs'!B44="","",'Model inputs'!B44),0)</f>
        <v>100</v>
      </c>
    </row>
    <row r="31">
      <c r="A31" t="inlineStr" s="10">
        <is>
          <t xml:space="preserve">Operating expenses</t>
        </is>
      </c>
      <c r="B31" s="12">
        <f>'Monthly P&amp;L, cash and runway'!B29+'Monthly P&amp;L, cash and runway'!B30</f>
        <v>2100</v>
      </c>
      <c r="C31" s="12">
        <f>'Monthly P&amp;L, cash and runway'!C29+'Monthly P&amp;L, cash and runway'!C30</f>
        <v>2100</v>
      </c>
      <c r="D31" s="12">
        <f>'Monthly P&amp;L, cash and runway'!D29+'Monthly P&amp;L, cash and runway'!D30</f>
        <v>2100</v>
      </c>
      <c r="E31" s="12">
        <f>'Monthly P&amp;L, cash and runway'!E29+'Monthly P&amp;L, cash and runway'!E30</f>
        <v>2100</v>
      </c>
      <c r="F31" s="12">
        <f>'Monthly P&amp;L, cash and runway'!F29+'Monthly P&amp;L, cash and runway'!F30</f>
        <v>2100</v>
      </c>
      <c r="G31" s="12">
        <f>'Monthly P&amp;L, cash and runway'!G29+'Monthly P&amp;L, cash and runway'!G30</f>
        <v>2100</v>
      </c>
      <c r="H31" s="12">
        <f>'Monthly P&amp;L, cash and runway'!H29+'Monthly P&amp;L, cash and runway'!H30</f>
        <v>2100</v>
      </c>
      <c r="I31" s="12">
        <f>'Monthly P&amp;L, cash and runway'!I29+'Monthly P&amp;L, cash and runway'!I30</f>
        <v>2100</v>
      </c>
      <c r="J31" s="12">
        <f>'Monthly P&amp;L, cash and runway'!J29+'Monthly P&amp;L, cash and runway'!J30</f>
        <v>2100</v>
      </c>
      <c r="K31" s="12">
        <f>'Monthly P&amp;L, cash and runway'!K29+'Monthly P&amp;L, cash and runway'!K30</f>
        <v>2100</v>
      </c>
      <c r="L31" s="12">
        <f>'Monthly P&amp;L, cash and runway'!L29+'Monthly P&amp;L, cash and runway'!L30</f>
        <v>2100</v>
      </c>
      <c r="M31" s="12">
        <f>'Monthly P&amp;L, cash and runway'!M29+'Monthly P&amp;L, cash and runway'!M30</f>
        <v>2100</v>
      </c>
      <c r="N31" s="12">
        <f>'Monthly P&amp;L, cash and runway'!N29+'Monthly P&amp;L, cash and runway'!N30</f>
        <v>2100</v>
      </c>
      <c r="O31" s="12">
        <f>'Monthly P&amp;L, cash and runway'!O29+'Monthly P&amp;L, cash and runway'!O30</f>
        <v>2100</v>
      </c>
      <c r="P31" s="12">
        <f>'Monthly P&amp;L, cash and runway'!P29+'Monthly P&amp;L, cash and runway'!P30</f>
        <v>2100</v>
      </c>
      <c r="Q31" s="12">
        <f>'Monthly P&amp;L, cash and runway'!Q29+'Monthly P&amp;L, cash and runway'!Q30</f>
        <v>2100</v>
      </c>
      <c r="R31" s="12">
        <f>'Monthly P&amp;L, cash and runway'!R29+'Monthly P&amp;L, cash and runway'!R30</f>
        <v>2100</v>
      </c>
      <c r="S31" s="12">
        <f>'Monthly P&amp;L, cash and runway'!S29+'Monthly P&amp;L, cash and runway'!S30</f>
        <v>2100</v>
      </c>
      <c r="T31" s="12">
        <f>'Monthly P&amp;L, cash and runway'!T29+'Monthly P&amp;L, cash and runway'!T30</f>
        <v>2100</v>
      </c>
      <c r="U31" s="12">
        <f>'Monthly P&amp;L, cash and runway'!U29+'Monthly P&amp;L, cash and runway'!U30</f>
        <v>2100</v>
      </c>
      <c r="V31" s="12">
        <f>'Monthly P&amp;L, cash and runway'!V29+'Monthly P&amp;L, cash and runway'!V30</f>
        <v>2100</v>
      </c>
      <c r="W31" s="12">
        <f>'Monthly P&amp;L, cash and runway'!W29+'Monthly P&amp;L, cash and runway'!W30</f>
        <v>2100</v>
      </c>
      <c r="X31" s="12">
        <f>'Monthly P&amp;L, cash and runway'!X29+'Monthly P&amp;L, cash and runway'!X30</f>
        <v>2100</v>
      </c>
      <c r="Y31" s="12">
        <f>'Monthly P&amp;L, cash and runway'!Y29+'Monthly P&amp;L, cash and runway'!Y30</f>
        <v>2100</v>
      </c>
    </row>
    <row r="32">
      <c r="A32" t="inlineStr" s="10">
        <is>
          <t xml:space="preserve">Net cash flow</t>
        </is>
      </c>
      <c r="B32" s="12">
        <f>'Monthly P&amp;L, cash and runway'!B27-'Monthly P&amp;L, cash and runway'!B31</f>
        <v>-2115.2</v>
      </c>
      <c r="C32" s="12">
        <f>'Monthly P&amp;L, cash and runway'!C27-'Monthly P&amp;L, cash and runway'!C31</f>
        <v>-2115.2</v>
      </c>
      <c r="D32" s="12">
        <f>'Monthly P&amp;L, cash and runway'!D27-'Monthly P&amp;L, cash and runway'!D31</f>
        <v>-2115.2</v>
      </c>
      <c r="E32" s="12">
        <f>'Monthly P&amp;L, cash and runway'!E27-'Monthly P&amp;L, cash and runway'!E31</f>
        <v>-1991.576</v>
      </c>
      <c r="F32" s="12">
        <f>'Monthly P&amp;L, cash and runway'!F27-'Monthly P&amp;L, cash and runway'!F31</f>
        <v>-1716.704</v>
      </c>
      <c r="G32" s="12">
        <f>'Monthly P&amp;L, cash and runway'!G27-'Monthly P&amp;L, cash and runway'!G31</f>
        <v>-1593.08</v>
      </c>
      <c r="H32" s="12">
        <f>'Monthly P&amp;L, cash and runway'!H27-'Monthly P&amp;L, cash and runway'!H31</f>
        <v>-1469.4560000000001</v>
      </c>
      <c r="I32" s="12">
        <f>'Monthly P&amp;L, cash and runway'!I27-'Monthly P&amp;L, cash and runway'!I31</f>
        <v>-1194.584</v>
      </c>
      <c r="J32" s="12">
        <f>'Monthly P&amp;L, cash and runway'!J27-'Monthly P&amp;L, cash and runway'!J31</f>
        <v>-1070.96</v>
      </c>
      <c r="K32" s="12">
        <f>'Monthly P&amp;L, cash and runway'!K27-'Monthly P&amp;L, cash and runway'!K31</f>
        <v>-947.336</v>
      </c>
      <c r="L32" s="12">
        <f>'Monthly P&amp;L, cash and runway'!L27-'Monthly P&amp;L, cash and runway'!L31</f>
        <v>-672.4640000000002</v>
      </c>
      <c r="M32" s="12">
        <f>'Monthly P&amp;L, cash and runway'!M27-'Monthly P&amp;L, cash and runway'!M31</f>
        <v>-548.8399999999999</v>
      </c>
      <c r="N32" s="12">
        <f>'Monthly P&amp;L, cash and runway'!N27-'Monthly P&amp;L, cash and runway'!N31</f>
        <v>-212.15599999999995</v>
      </c>
      <c r="O32" s="12">
        <f>'Monthly P&amp;L, cash and runway'!O27-'Monthly P&amp;L, cash and runway'!O31</f>
        <v>-88.53200000000015</v>
      </c>
      <c r="P32" s="12">
        <f>'Monthly P&amp;L, cash and runway'!P27-'Monthly P&amp;L, cash and runway'!P31</f>
        <v>248.15200000000004</v>
      </c>
      <c r="Q32" s="12">
        <f>'Monthly P&amp;L, cash and runway'!Q27-'Monthly P&amp;L, cash and runway'!Q31</f>
        <v>371.77599999999984</v>
      </c>
      <c r="R32" s="12">
        <f>'Monthly P&amp;L, cash and runway'!R27-'Monthly P&amp;L, cash and runway'!R31</f>
        <v>708.46</v>
      </c>
      <c r="S32" s="12">
        <f>'Monthly P&amp;L, cash and runway'!S27-'Monthly P&amp;L, cash and runway'!S31</f>
        <v>1106.9559999999997</v>
      </c>
      <c r="T32" s="12">
        <f>'Monthly P&amp;L, cash and runway'!T27-'Monthly P&amp;L, cash and runway'!T31</f>
        <v>1230.58</v>
      </c>
      <c r="U32" s="12">
        <f>'Monthly P&amp;L, cash and runway'!U27-'Monthly P&amp;L, cash and runway'!U31</f>
        <v>1567.2640000000001</v>
      </c>
      <c r="V32" s="12">
        <f>'Monthly P&amp;L, cash and runway'!V27-'Monthly P&amp;L, cash and runway'!V31</f>
        <v>1690.8880000000004</v>
      </c>
      <c r="W32" s="12">
        <f>'Monthly P&amp;L, cash and runway'!W27-'Monthly P&amp;L, cash and runway'!W31</f>
        <v>2027.5720000000001</v>
      </c>
      <c r="X32" s="12">
        <f>'Monthly P&amp;L, cash and runway'!X27-'Monthly P&amp;L, cash and runway'!X31</f>
        <v>2151.196</v>
      </c>
      <c r="Y32" s="12">
        <f>'Monthly P&amp;L, cash and runway'!Y27-'Monthly P&amp;L, cash and runway'!Y31</f>
        <v>2487.88</v>
      </c>
    </row>
    <row r="33">
      <c r="A33" t="inlineStr" s="10">
        <is>
          <t xml:space="preserve">Net burn</t>
        </is>
      </c>
      <c r="B33" s="12">
        <f>-'Monthly P&amp;L, cash and runway'!B32</f>
        <v>2115.2</v>
      </c>
      <c r="C33" s="12">
        <f>-'Monthly P&amp;L, cash and runway'!C32</f>
        <v>2115.2</v>
      </c>
      <c r="D33" s="12">
        <f>-'Monthly P&amp;L, cash and runway'!D32</f>
        <v>2115.2</v>
      </c>
      <c r="E33" s="12">
        <f>-'Monthly P&amp;L, cash and runway'!E32</f>
        <v>1991.576</v>
      </c>
      <c r="F33" s="12">
        <f>-'Monthly P&amp;L, cash and runway'!F32</f>
        <v>1716.704</v>
      </c>
      <c r="G33" s="12">
        <f>-'Monthly P&amp;L, cash and runway'!G32</f>
        <v>1593.08</v>
      </c>
      <c r="H33" s="12">
        <f>-'Monthly P&amp;L, cash and runway'!H32</f>
        <v>1469.4560000000001</v>
      </c>
      <c r="I33" s="12">
        <f>-'Monthly P&amp;L, cash and runway'!I32</f>
        <v>1194.584</v>
      </c>
      <c r="J33" s="12">
        <f>-'Monthly P&amp;L, cash and runway'!J32</f>
        <v>1070.96</v>
      </c>
      <c r="K33" s="12">
        <f>-'Monthly P&amp;L, cash and runway'!K32</f>
        <v>947.336</v>
      </c>
      <c r="L33" s="12">
        <f>-'Monthly P&amp;L, cash and runway'!L32</f>
        <v>672.4640000000002</v>
      </c>
      <c r="M33" s="12">
        <f>-'Monthly P&amp;L, cash and runway'!M32</f>
        <v>548.8399999999999</v>
      </c>
      <c r="N33" s="12">
        <f>-'Monthly P&amp;L, cash and runway'!N32</f>
        <v>212.15599999999995</v>
      </c>
      <c r="O33" s="12">
        <f>-'Monthly P&amp;L, cash and runway'!O32</f>
        <v>88.53200000000015</v>
      </c>
      <c r="P33" s="12">
        <f>-'Monthly P&amp;L, cash and runway'!P32</f>
        <v>-248.15200000000004</v>
      </c>
      <c r="Q33" s="12">
        <f>-'Monthly P&amp;L, cash and runway'!Q32</f>
        <v>-371.77599999999984</v>
      </c>
      <c r="R33" s="12">
        <f>-'Monthly P&amp;L, cash and runway'!R32</f>
        <v>-708.46</v>
      </c>
      <c r="S33" s="12">
        <f>-'Monthly P&amp;L, cash and runway'!S32</f>
        <v>-1106.9559999999997</v>
      </c>
      <c r="T33" s="12">
        <f>-'Monthly P&amp;L, cash and runway'!T32</f>
        <v>-1230.58</v>
      </c>
      <c r="U33" s="12">
        <f>-'Monthly P&amp;L, cash and runway'!U32</f>
        <v>-1567.2640000000001</v>
      </c>
      <c r="V33" s="12">
        <f>-'Monthly P&amp;L, cash and runway'!V32</f>
        <v>-1690.8880000000004</v>
      </c>
      <c r="W33" s="12">
        <f>-'Monthly P&amp;L, cash and runway'!W32</f>
        <v>-2027.5720000000001</v>
      </c>
      <c r="X33" s="12">
        <f>-'Monthly P&amp;L, cash and runway'!X32</f>
        <v>-2151.196</v>
      </c>
      <c r="Y33" s="12">
        <f>-'Monthly P&amp;L, cash and runway'!Y32</f>
        <v>-2487.88</v>
      </c>
    </row>
    <row r="34">
      <c r="A34" t="inlineStr" s="10">
        <is>
          <t xml:space="preserve">Ending cash</t>
        </is>
      </c>
      <c r="B34" s="12">
        <f>IF(IF(IF(IF(ISERROR('Monthly P&amp;L, cash and runway'!B5=1),'Monthly P&amp;L, cash and runway'!B5=1,IF('Monthly P&amp;L, cash and runway'!B5="","",'Monthly P&amp;L, cash and runway'!B5=1))="",FALSE,IF(ISERROR('Monthly P&amp;L, cash and runway'!B5=1),'Monthly P&amp;L, cash and runway'!B5=1,IF('Monthly P&amp;L, cash and runway'!B5="","",'Monthly P&amp;L, cash and runway'!B5=1))),IF('Model inputs'!B42="","",'Model inputs'!B42),IF('Model inputs'!D19="","",'Model inputs'!D19))="",0,IF(IF(IF(ISERROR('Monthly P&amp;L, cash and runway'!B5=1),'Monthly P&amp;L, cash and runway'!B5=1,IF('Monthly P&amp;L, cash and runway'!B5="","",'Monthly P&amp;L, cash and runway'!B5=1))="",FALSE,IF(ISERROR('Monthly P&amp;L, cash and runway'!B5=1),'Monthly P&amp;L, cash and runway'!B5=1,IF('Monthly P&amp;L, cash and runway'!B5="","",'Monthly P&amp;L, cash and runway'!B5=1))),IF('Model inputs'!B42="","",'Model inputs'!B42),IF('Model inputs'!D19="","",'Model inputs'!D19)))+'Monthly P&amp;L, cash and runway'!B32</f>
        <v>22884.8</v>
      </c>
      <c r="C34" s="12">
        <f>IF(IF(IF(IF(ISERROR('Monthly P&amp;L, cash and runway'!C5=1),'Monthly P&amp;L, cash and runway'!C5=1,IF('Monthly P&amp;L, cash and runway'!C5="","",'Monthly P&amp;L, cash and runway'!C5=1))="",FALSE,IF(ISERROR('Monthly P&amp;L, cash and runway'!C5=1),'Monthly P&amp;L, cash and runway'!C5=1,IF('Monthly P&amp;L, cash and runway'!C5="","",'Monthly P&amp;L, cash and runway'!C5=1))),IF('Model inputs'!B42="","",'Model inputs'!B42),IF('Monthly P&amp;L, cash and runway'!B34="","",'Monthly P&amp;L, cash and runway'!B34))="",0,IF(IF(IF(ISERROR('Monthly P&amp;L, cash and runway'!C5=1),'Monthly P&amp;L, cash and runway'!C5=1,IF('Monthly P&amp;L, cash and runway'!C5="","",'Monthly P&amp;L, cash and runway'!C5=1))="",FALSE,IF(ISERROR('Monthly P&amp;L, cash and runway'!C5=1),'Monthly P&amp;L, cash and runway'!C5=1,IF('Monthly P&amp;L, cash and runway'!C5="","",'Monthly P&amp;L, cash and runway'!C5=1))),IF('Model inputs'!B42="","",'Model inputs'!B42),IF('Monthly P&amp;L, cash and runway'!B34="","",'Monthly P&amp;L, cash and runway'!B34)))+'Monthly P&amp;L, cash and runway'!C32</f>
        <v>20769.6</v>
      </c>
      <c r="D34" s="12">
        <f>IF(IF(IF(IF(ISERROR('Monthly P&amp;L, cash and runway'!D5=1),'Monthly P&amp;L, cash and runway'!D5=1,IF('Monthly P&amp;L, cash and runway'!D5="","",'Monthly P&amp;L, cash and runway'!D5=1))="",FALSE,IF(ISERROR('Monthly P&amp;L, cash and runway'!D5=1),'Monthly P&amp;L, cash and runway'!D5=1,IF('Monthly P&amp;L, cash and runway'!D5="","",'Monthly P&amp;L, cash and runway'!D5=1))),IF('Model inputs'!B42="","",'Model inputs'!B42),IF('Monthly P&amp;L, cash and runway'!C34="","",'Monthly P&amp;L, cash and runway'!C34))="",0,IF(IF(IF(ISERROR('Monthly P&amp;L, cash and runway'!D5=1),'Monthly P&amp;L, cash and runway'!D5=1,IF('Monthly P&amp;L, cash and runway'!D5="","",'Monthly P&amp;L, cash and runway'!D5=1))="",FALSE,IF(ISERROR('Monthly P&amp;L, cash and runway'!D5=1),'Monthly P&amp;L, cash and runway'!D5=1,IF('Monthly P&amp;L, cash and runway'!D5="","",'Monthly P&amp;L, cash and runway'!D5=1))),IF('Model inputs'!B42="","",'Model inputs'!B42),IF('Monthly P&amp;L, cash and runway'!C34="","",'Monthly P&amp;L, cash and runway'!C34)))+'Monthly P&amp;L, cash and runway'!D32</f>
        <v>18654.399999999998</v>
      </c>
      <c r="E34" s="12">
        <f>IF(IF(IF(IF(ISERROR('Monthly P&amp;L, cash and runway'!E5=1),'Monthly P&amp;L, cash and runway'!E5=1,IF('Monthly P&amp;L, cash and runway'!E5="","",'Monthly P&amp;L, cash and runway'!E5=1))="",FALSE,IF(ISERROR('Monthly P&amp;L, cash and runway'!E5=1),'Monthly P&amp;L, cash and runway'!E5=1,IF('Monthly P&amp;L, cash and runway'!E5="","",'Monthly P&amp;L, cash and runway'!E5=1))),IF('Model inputs'!B42="","",'Model inputs'!B42),IF('Monthly P&amp;L, cash and runway'!D34="","",'Monthly P&amp;L, cash and runway'!D34))="",0,IF(IF(IF(ISERROR('Monthly P&amp;L, cash and runway'!E5=1),'Monthly P&amp;L, cash and runway'!E5=1,IF('Monthly P&amp;L, cash and runway'!E5="","",'Monthly P&amp;L, cash and runway'!E5=1))="",FALSE,IF(ISERROR('Monthly P&amp;L, cash and runway'!E5=1),'Monthly P&amp;L, cash and runway'!E5=1,IF('Monthly P&amp;L, cash and runway'!E5="","",'Monthly P&amp;L, cash and runway'!E5=1))),IF('Model inputs'!B42="","",'Model inputs'!B42),IF('Monthly P&amp;L, cash and runway'!D34="","",'Monthly P&amp;L, cash and runway'!D34)))+'Monthly P&amp;L, cash and runway'!E32</f>
        <v>16662.823999999997</v>
      </c>
      <c r="F34" s="12">
        <f>IF(IF(IF(IF(ISERROR('Monthly P&amp;L, cash and runway'!F5=1),'Monthly P&amp;L, cash and runway'!F5=1,IF('Monthly P&amp;L, cash and runway'!F5="","",'Monthly P&amp;L, cash and runway'!F5=1))="",FALSE,IF(ISERROR('Monthly P&amp;L, cash and runway'!F5=1),'Monthly P&amp;L, cash and runway'!F5=1,IF('Monthly P&amp;L, cash and runway'!F5="","",'Monthly P&amp;L, cash and runway'!F5=1))),IF('Model inputs'!B42="","",'Model inputs'!B42),IF('Monthly P&amp;L, cash and runway'!E34="","",'Monthly P&amp;L, cash and runway'!E34))="",0,IF(IF(IF(ISERROR('Monthly P&amp;L, cash and runway'!F5=1),'Monthly P&amp;L, cash and runway'!F5=1,IF('Monthly P&amp;L, cash and runway'!F5="","",'Monthly P&amp;L, cash and runway'!F5=1))="",FALSE,IF(ISERROR('Monthly P&amp;L, cash and runway'!F5=1),'Monthly P&amp;L, cash and runway'!F5=1,IF('Monthly P&amp;L, cash and runway'!F5="","",'Monthly P&amp;L, cash and runway'!F5=1))),IF('Model inputs'!B42="","",'Model inputs'!B42),IF('Monthly P&amp;L, cash and runway'!E34="","",'Monthly P&amp;L, cash and runway'!E34)))+'Monthly P&amp;L, cash and runway'!F32</f>
        <v>14946.119999999997</v>
      </c>
      <c r="G34" s="12">
        <f>IF(IF(IF(IF(ISERROR('Monthly P&amp;L, cash and runway'!G5=1),'Monthly P&amp;L, cash and runway'!G5=1,IF('Monthly P&amp;L, cash and runway'!G5="","",'Monthly P&amp;L, cash and runway'!G5=1))="",FALSE,IF(ISERROR('Monthly P&amp;L, cash and runway'!G5=1),'Monthly P&amp;L, cash and runway'!G5=1,IF('Monthly P&amp;L, cash and runway'!G5="","",'Monthly P&amp;L, cash and runway'!G5=1))),IF('Model inputs'!B42="","",'Model inputs'!B42),IF('Monthly P&amp;L, cash and runway'!F34="","",'Monthly P&amp;L, cash and runway'!F34))="",0,IF(IF(IF(ISERROR('Monthly P&amp;L, cash and runway'!G5=1),'Monthly P&amp;L, cash and runway'!G5=1,IF('Monthly P&amp;L, cash and runway'!G5="","",'Monthly P&amp;L, cash and runway'!G5=1))="",FALSE,IF(ISERROR('Monthly P&amp;L, cash and runway'!G5=1),'Monthly P&amp;L, cash and runway'!G5=1,IF('Monthly P&amp;L, cash and runway'!G5="","",'Monthly P&amp;L, cash and runway'!G5=1))),IF('Model inputs'!B42="","",'Model inputs'!B42),IF('Monthly P&amp;L, cash and runway'!F34="","",'Monthly P&amp;L, cash and runway'!F34)))+'Monthly P&amp;L, cash and runway'!G32</f>
        <v>13353.039999999997</v>
      </c>
      <c r="H34" s="12">
        <f>IF(IF(IF(IF(ISERROR('Monthly P&amp;L, cash and runway'!H5=1),'Monthly P&amp;L, cash and runway'!H5=1,IF('Monthly P&amp;L, cash and runway'!H5="","",'Monthly P&amp;L, cash and runway'!H5=1))="",FALSE,IF(ISERROR('Monthly P&amp;L, cash and runway'!H5=1),'Monthly P&amp;L, cash and runway'!H5=1,IF('Monthly P&amp;L, cash and runway'!H5="","",'Monthly P&amp;L, cash and runway'!H5=1))),IF('Model inputs'!B42="","",'Model inputs'!B42),IF('Monthly P&amp;L, cash and runway'!G34="","",'Monthly P&amp;L, cash and runway'!G34))="",0,IF(IF(IF(ISERROR('Monthly P&amp;L, cash and runway'!H5=1),'Monthly P&amp;L, cash and runway'!H5=1,IF('Monthly P&amp;L, cash and runway'!H5="","",'Monthly P&amp;L, cash and runway'!H5=1))="",FALSE,IF(ISERROR('Monthly P&amp;L, cash and runway'!H5=1),'Monthly P&amp;L, cash and runway'!H5=1,IF('Monthly P&amp;L, cash and runway'!H5="","",'Monthly P&amp;L, cash and runway'!H5=1))),IF('Model inputs'!B42="","",'Model inputs'!B42),IF('Monthly P&amp;L, cash and runway'!G34="","",'Monthly P&amp;L, cash and runway'!G34)))+'Monthly P&amp;L, cash and runway'!H32</f>
        <v>11883.583999999997</v>
      </c>
      <c r="I34" s="12">
        <f>IF(IF(IF(IF(ISERROR('Monthly P&amp;L, cash and runway'!I5=1),'Monthly P&amp;L, cash and runway'!I5=1,IF('Monthly P&amp;L, cash and runway'!I5="","",'Monthly P&amp;L, cash and runway'!I5=1))="",FALSE,IF(ISERROR('Monthly P&amp;L, cash and runway'!I5=1),'Monthly P&amp;L, cash and runway'!I5=1,IF('Monthly P&amp;L, cash and runway'!I5="","",'Monthly P&amp;L, cash and runway'!I5=1))),IF('Model inputs'!B42="","",'Model inputs'!B42),IF('Monthly P&amp;L, cash and runway'!H34="","",'Monthly P&amp;L, cash and runway'!H34))="",0,IF(IF(IF(ISERROR('Monthly P&amp;L, cash and runway'!I5=1),'Monthly P&amp;L, cash and runway'!I5=1,IF('Monthly P&amp;L, cash and runway'!I5="","",'Monthly P&amp;L, cash and runway'!I5=1))="",FALSE,IF(ISERROR('Monthly P&amp;L, cash and runway'!I5=1),'Monthly P&amp;L, cash and runway'!I5=1,IF('Monthly P&amp;L, cash and runway'!I5="","",'Monthly P&amp;L, cash and runway'!I5=1))),IF('Model inputs'!B42="","",'Model inputs'!B42),IF('Monthly P&amp;L, cash and runway'!H34="","",'Monthly P&amp;L, cash and runway'!H34)))+'Monthly P&amp;L, cash and runway'!I32</f>
        <v>10688.999999999996</v>
      </c>
      <c r="J34" s="12">
        <f>IF(IF(IF(IF(ISERROR('Monthly P&amp;L, cash and runway'!J5=1),'Monthly P&amp;L, cash and runway'!J5=1,IF('Monthly P&amp;L, cash and runway'!J5="","",'Monthly P&amp;L, cash and runway'!J5=1))="",FALSE,IF(ISERROR('Monthly P&amp;L, cash and runway'!J5=1),'Monthly P&amp;L, cash and runway'!J5=1,IF('Monthly P&amp;L, cash and runway'!J5="","",'Monthly P&amp;L, cash and runway'!J5=1))),IF('Model inputs'!B42="","",'Model inputs'!B42),IF('Monthly P&amp;L, cash and runway'!I34="","",'Monthly P&amp;L, cash and runway'!I34))="",0,IF(IF(IF(ISERROR('Monthly P&amp;L, cash and runway'!J5=1),'Monthly P&amp;L, cash and runway'!J5=1,IF('Monthly P&amp;L, cash and runway'!J5="","",'Monthly P&amp;L, cash and runway'!J5=1))="",FALSE,IF(ISERROR('Monthly P&amp;L, cash and runway'!J5=1),'Monthly P&amp;L, cash and runway'!J5=1,IF('Monthly P&amp;L, cash and runway'!J5="","",'Monthly P&amp;L, cash and runway'!J5=1))),IF('Model inputs'!B42="","",'Model inputs'!B42),IF('Monthly P&amp;L, cash and runway'!I34="","",'Monthly P&amp;L, cash and runway'!I34)))+'Monthly P&amp;L, cash and runway'!J32</f>
        <v>9618.039999999997</v>
      </c>
      <c r="K34" s="12">
        <f>IF(IF(IF(IF(ISERROR('Monthly P&amp;L, cash and runway'!K5=1),'Monthly P&amp;L, cash and runway'!K5=1,IF('Monthly P&amp;L, cash and runway'!K5="","",'Monthly P&amp;L, cash and runway'!K5=1))="",FALSE,IF(ISERROR('Monthly P&amp;L, cash and runway'!K5=1),'Monthly P&amp;L, cash and runway'!K5=1,IF('Monthly P&amp;L, cash and runway'!K5="","",'Monthly P&amp;L, cash and runway'!K5=1))),IF('Model inputs'!B42="","",'Model inputs'!B42),IF('Monthly P&amp;L, cash and runway'!J34="","",'Monthly P&amp;L, cash and runway'!J34))="",0,IF(IF(IF(ISERROR('Monthly P&amp;L, cash and runway'!K5=1),'Monthly P&amp;L, cash and runway'!K5=1,IF('Monthly P&amp;L, cash and runway'!K5="","",'Monthly P&amp;L, cash and runway'!K5=1))="",FALSE,IF(ISERROR('Monthly P&amp;L, cash and runway'!K5=1),'Monthly P&amp;L, cash and runway'!K5=1,IF('Monthly P&amp;L, cash and runway'!K5="","",'Monthly P&amp;L, cash and runway'!K5=1))),IF('Model inputs'!B42="","",'Model inputs'!B42),IF('Monthly P&amp;L, cash and runway'!J34="","",'Monthly P&amp;L, cash and runway'!J34)))+'Monthly P&amp;L, cash and runway'!K32</f>
        <v>8670.703999999998</v>
      </c>
      <c r="L34" s="12">
        <f>IF(IF(IF(IF(ISERROR('Monthly P&amp;L, cash and runway'!L5=1),'Monthly P&amp;L, cash and runway'!L5=1,IF('Monthly P&amp;L, cash and runway'!L5="","",'Monthly P&amp;L, cash and runway'!L5=1))="",FALSE,IF(ISERROR('Monthly P&amp;L, cash and runway'!L5=1),'Monthly P&amp;L, cash and runway'!L5=1,IF('Monthly P&amp;L, cash and runway'!L5="","",'Monthly P&amp;L, cash and runway'!L5=1))),IF('Model inputs'!B42="","",'Model inputs'!B42),IF('Monthly P&amp;L, cash and runway'!K34="","",'Monthly P&amp;L, cash and runway'!K34))="",0,IF(IF(IF(ISERROR('Monthly P&amp;L, cash and runway'!L5=1),'Monthly P&amp;L, cash and runway'!L5=1,IF('Monthly P&amp;L, cash and runway'!L5="","",'Monthly P&amp;L, cash and runway'!L5=1))="",FALSE,IF(ISERROR('Monthly P&amp;L, cash and runway'!L5=1),'Monthly P&amp;L, cash and runway'!L5=1,IF('Monthly P&amp;L, cash and runway'!L5="","",'Monthly P&amp;L, cash and runway'!L5=1))),IF('Model inputs'!B42="","",'Model inputs'!B42),IF('Monthly P&amp;L, cash and runway'!K34="","",'Monthly P&amp;L, cash and runway'!K34)))+'Monthly P&amp;L, cash and runway'!L32</f>
        <v>7998.239999999998</v>
      </c>
      <c r="M34" s="12">
        <f>IF(IF(IF(IF(ISERROR('Monthly P&amp;L, cash and runway'!M5=1),'Monthly P&amp;L, cash and runway'!M5=1,IF('Monthly P&amp;L, cash and runway'!M5="","",'Monthly P&amp;L, cash and runway'!M5=1))="",FALSE,IF(ISERROR('Monthly P&amp;L, cash and runway'!M5=1),'Monthly P&amp;L, cash and runway'!M5=1,IF('Monthly P&amp;L, cash and runway'!M5="","",'Monthly P&amp;L, cash and runway'!M5=1))),IF('Model inputs'!B42="","",'Model inputs'!B42),IF('Monthly P&amp;L, cash and runway'!L34="","",'Monthly P&amp;L, cash and runway'!L34))="",0,IF(IF(IF(ISERROR('Monthly P&amp;L, cash and runway'!M5=1),'Monthly P&amp;L, cash and runway'!M5=1,IF('Monthly P&amp;L, cash and runway'!M5="","",'Monthly P&amp;L, cash and runway'!M5=1))="",FALSE,IF(ISERROR('Monthly P&amp;L, cash and runway'!M5=1),'Monthly P&amp;L, cash and runway'!M5=1,IF('Monthly P&amp;L, cash and runway'!M5="","",'Monthly P&amp;L, cash and runway'!M5=1))),IF('Model inputs'!B42="","",'Model inputs'!B42),IF('Monthly P&amp;L, cash and runway'!L34="","",'Monthly P&amp;L, cash and runway'!L34)))+'Monthly P&amp;L, cash and runway'!M32</f>
        <v>7449.399999999998</v>
      </c>
      <c r="N34" s="12">
        <f>IF(IF(IF(IF(ISERROR('Monthly P&amp;L, cash and runway'!N5=1),'Monthly P&amp;L, cash and runway'!N5=1,IF('Monthly P&amp;L, cash and runway'!N5="","",'Monthly P&amp;L, cash and runway'!N5=1))="",FALSE,IF(ISERROR('Monthly P&amp;L, cash and runway'!N5=1),'Monthly P&amp;L, cash and runway'!N5=1,IF('Monthly P&amp;L, cash and runway'!N5="","",'Monthly P&amp;L, cash and runway'!N5=1))),IF('Model inputs'!B42="","",'Model inputs'!B42),IF('Monthly P&amp;L, cash and runway'!M34="","",'Monthly P&amp;L, cash and runway'!M34))="",0,IF(IF(IF(ISERROR('Monthly P&amp;L, cash and runway'!N5=1),'Monthly P&amp;L, cash and runway'!N5=1,IF('Monthly P&amp;L, cash and runway'!N5="","",'Monthly P&amp;L, cash and runway'!N5=1))="",FALSE,IF(ISERROR('Monthly P&amp;L, cash and runway'!N5=1),'Monthly P&amp;L, cash and runway'!N5=1,IF('Monthly P&amp;L, cash and runway'!N5="","",'Monthly P&amp;L, cash and runway'!N5=1))),IF('Model inputs'!B42="","",'Model inputs'!B42),IF('Monthly P&amp;L, cash and runway'!M34="","",'Monthly P&amp;L, cash and runway'!M34)))+'Monthly P&amp;L, cash and runway'!N32</f>
        <v>7237.243999999998</v>
      </c>
      <c r="O34" s="12">
        <f>IF(IF(IF(IF(ISERROR('Monthly P&amp;L, cash and runway'!O5=1),'Monthly P&amp;L, cash and runway'!O5=1,IF('Monthly P&amp;L, cash and runway'!O5="","",'Monthly P&amp;L, cash and runway'!O5=1))="",FALSE,IF(ISERROR('Monthly P&amp;L, cash and runway'!O5=1),'Monthly P&amp;L, cash and runway'!O5=1,IF('Monthly P&amp;L, cash and runway'!O5="","",'Monthly P&amp;L, cash and runway'!O5=1))),IF('Model inputs'!B42="","",'Model inputs'!B42),IF('Monthly P&amp;L, cash and runway'!N34="","",'Monthly P&amp;L, cash and runway'!N34))="",0,IF(IF(IF(ISERROR('Monthly P&amp;L, cash and runway'!O5=1),'Monthly P&amp;L, cash and runway'!O5=1,IF('Monthly P&amp;L, cash and runway'!O5="","",'Monthly P&amp;L, cash and runway'!O5=1))="",FALSE,IF(ISERROR('Monthly P&amp;L, cash and runway'!O5=1),'Monthly P&amp;L, cash and runway'!O5=1,IF('Monthly P&amp;L, cash and runway'!O5="","",'Monthly P&amp;L, cash and runway'!O5=1))),IF('Model inputs'!B42="","",'Model inputs'!B42),IF('Monthly P&amp;L, cash and runway'!N34="","",'Monthly P&amp;L, cash and runway'!N34)))+'Monthly P&amp;L, cash and runway'!O32</f>
        <v>7148.711999999998</v>
      </c>
      <c r="P34" s="12">
        <f>IF(IF(IF(IF(ISERROR('Monthly P&amp;L, cash and runway'!P5=1),'Monthly P&amp;L, cash and runway'!P5=1,IF('Monthly P&amp;L, cash and runway'!P5="","",'Monthly P&amp;L, cash and runway'!P5=1))="",FALSE,IF(ISERROR('Monthly P&amp;L, cash and runway'!P5=1),'Monthly P&amp;L, cash and runway'!P5=1,IF('Monthly P&amp;L, cash and runway'!P5="","",'Monthly P&amp;L, cash and runway'!P5=1))),IF('Model inputs'!B42="","",'Model inputs'!B42),IF('Monthly P&amp;L, cash and runway'!O34="","",'Monthly P&amp;L, cash and runway'!O34))="",0,IF(IF(IF(ISERROR('Monthly P&amp;L, cash and runway'!P5=1),'Monthly P&amp;L, cash and runway'!P5=1,IF('Monthly P&amp;L, cash and runway'!P5="","",'Monthly P&amp;L, cash and runway'!P5=1))="",FALSE,IF(ISERROR('Monthly P&amp;L, cash and runway'!P5=1),'Monthly P&amp;L, cash and runway'!P5=1,IF('Monthly P&amp;L, cash and runway'!P5="","",'Monthly P&amp;L, cash and runway'!P5=1))),IF('Model inputs'!B42="","",'Model inputs'!B42),IF('Monthly P&amp;L, cash and runway'!O34="","",'Monthly P&amp;L, cash and runway'!O34)))+'Monthly P&amp;L, cash and runway'!P32</f>
        <v>7396.863999999998</v>
      </c>
      <c r="Q34" s="12">
        <f>IF(IF(IF(IF(ISERROR('Monthly P&amp;L, cash and runway'!Q5=1),'Monthly P&amp;L, cash and runway'!Q5=1,IF('Monthly P&amp;L, cash and runway'!Q5="","",'Monthly P&amp;L, cash and runway'!Q5=1))="",FALSE,IF(ISERROR('Monthly P&amp;L, cash and runway'!Q5=1),'Monthly P&amp;L, cash and runway'!Q5=1,IF('Monthly P&amp;L, cash and runway'!Q5="","",'Monthly P&amp;L, cash and runway'!Q5=1))),IF('Model inputs'!B42="","",'Model inputs'!B42),IF('Monthly P&amp;L, cash and runway'!P34="","",'Monthly P&amp;L, cash and runway'!P34))="",0,IF(IF(IF(ISERROR('Monthly P&amp;L, cash and runway'!Q5=1),'Monthly P&amp;L, cash and runway'!Q5=1,IF('Monthly P&amp;L, cash and runway'!Q5="","",'Monthly P&amp;L, cash and runway'!Q5=1))="",FALSE,IF(ISERROR('Monthly P&amp;L, cash and runway'!Q5=1),'Monthly P&amp;L, cash and runway'!Q5=1,IF('Monthly P&amp;L, cash and runway'!Q5="","",'Monthly P&amp;L, cash and runway'!Q5=1))),IF('Model inputs'!B42="","",'Model inputs'!B42),IF('Monthly P&amp;L, cash and runway'!P34="","",'Monthly P&amp;L, cash and runway'!P34)))+'Monthly P&amp;L, cash and runway'!Q32</f>
        <v>7768.639999999998</v>
      </c>
      <c r="R34" s="12">
        <f>IF(IF(IF(IF(ISERROR('Monthly P&amp;L, cash and runway'!R5=1),'Monthly P&amp;L, cash and runway'!R5=1,IF('Monthly P&amp;L, cash and runway'!R5="","",'Monthly P&amp;L, cash and runway'!R5=1))="",FALSE,IF(ISERROR('Monthly P&amp;L, cash and runway'!R5=1),'Monthly P&amp;L, cash and runway'!R5=1,IF('Monthly P&amp;L, cash and runway'!R5="","",'Monthly P&amp;L, cash and runway'!R5=1))),IF('Model inputs'!B42="","",'Model inputs'!B42),IF('Monthly P&amp;L, cash and runway'!Q34="","",'Monthly P&amp;L, cash and runway'!Q34))="",0,IF(IF(IF(ISERROR('Monthly P&amp;L, cash and runway'!R5=1),'Monthly P&amp;L, cash and runway'!R5=1,IF('Monthly P&amp;L, cash and runway'!R5="","",'Monthly P&amp;L, cash and runway'!R5=1))="",FALSE,IF(ISERROR('Monthly P&amp;L, cash and runway'!R5=1),'Monthly P&amp;L, cash and runway'!R5=1,IF('Monthly P&amp;L, cash and runway'!R5="","",'Monthly P&amp;L, cash and runway'!R5=1))),IF('Model inputs'!B42="","",'Model inputs'!B42),IF('Monthly P&amp;L, cash and runway'!Q34="","",'Monthly P&amp;L, cash and runway'!Q34)))+'Monthly P&amp;L, cash and runway'!R32</f>
        <v>8477.099999999999</v>
      </c>
      <c r="S34" s="12">
        <f>IF(IF(IF(IF(ISERROR('Monthly P&amp;L, cash and runway'!S5=1),'Monthly P&amp;L, cash and runway'!S5=1,IF('Monthly P&amp;L, cash and runway'!S5="","",'Monthly P&amp;L, cash and runway'!S5=1))="",FALSE,IF(ISERROR('Monthly P&amp;L, cash and runway'!S5=1),'Monthly P&amp;L, cash and runway'!S5=1,IF('Monthly P&amp;L, cash and runway'!S5="","",'Monthly P&amp;L, cash and runway'!S5=1))),IF('Model inputs'!B42="","",'Model inputs'!B42),IF('Monthly P&amp;L, cash and runway'!R34="","",'Monthly P&amp;L, cash and runway'!R34))="",0,IF(IF(IF(ISERROR('Monthly P&amp;L, cash and runway'!S5=1),'Monthly P&amp;L, cash and runway'!S5=1,IF('Monthly P&amp;L, cash and runway'!S5="","",'Monthly P&amp;L, cash and runway'!S5=1))="",FALSE,IF(ISERROR('Monthly P&amp;L, cash and runway'!S5=1),'Monthly P&amp;L, cash and runway'!S5=1,IF('Monthly P&amp;L, cash and runway'!S5="","",'Monthly P&amp;L, cash and runway'!S5=1))),IF('Model inputs'!B42="","",'Model inputs'!B42),IF('Monthly P&amp;L, cash and runway'!R34="","",'Monthly P&amp;L, cash and runway'!R34)))+'Monthly P&amp;L, cash and runway'!S32</f>
        <v>9584.055999999999</v>
      </c>
      <c r="T34" s="12">
        <f>IF(IF(IF(IF(ISERROR('Monthly P&amp;L, cash and runway'!T5=1),'Monthly P&amp;L, cash and runway'!T5=1,IF('Monthly P&amp;L, cash and runway'!T5="","",'Monthly P&amp;L, cash and runway'!T5=1))="",FALSE,IF(ISERROR('Monthly P&amp;L, cash and runway'!T5=1),'Monthly P&amp;L, cash and runway'!T5=1,IF('Monthly P&amp;L, cash and runway'!T5="","",'Monthly P&amp;L, cash and runway'!T5=1))),IF('Model inputs'!B42="","",'Model inputs'!B42),IF('Monthly P&amp;L, cash and runway'!S34="","",'Monthly P&amp;L, cash and runway'!S34))="",0,IF(IF(IF(ISERROR('Monthly P&amp;L, cash and runway'!T5=1),'Monthly P&amp;L, cash and runway'!T5=1,IF('Monthly P&amp;L, cash and runway'!T5="","",'Monthly P&amp;L, cash and runway'!T5=1))="",FALSE,IF(ISERROR('Monthly P&amp;L, cash and runway'!T5=1),'Monthly P&amp;L, cash and runway'!T5=1,IF('Monthly P&amp;L, cash and runway'!T5="","",'Monthly P&amp;L, cash and runway'!T5=1))),IF('Model inputs'!B42="","",'Model inputs'!B42),IF('Monthly P&amp;L, cash and runway'!S34="","",'Monthly P&amp;L, cash and runway'!S34)))+'Monthly P&amp;L, cash and runway'!T32</f>
        <v>10814.635999999999</v>
      </c>
      <c r="U34" s="12">
        <f>IF(IF(IF(IF(ISERROR('Monthly P&amp;L, cash and runway'!U5=1),'Monthly P&amp;L, cash and runway'!U5=1,IF('Monthly P&amp;L, cash and runway'!U5="","",'Monthly P&amp;L, cash and runway'!U5=1))="",FALSE,IF(ISERROR('Monthly P&amp;L, cash and runway'!U5=1),'Monthly P&amp;L, cash and runway'!U5=1,IF('Monthly P&amp;L, cash and runway'!U5="","",'Monthly P&amp;L, cash and runway'!U5=1))),IF('Model inputs'!B42="","",'Model inputs'!B42),IF('Monthly P&amp;L, cash and runway'!T34="","",'Monthly P&amp;L, cash and runway'!T34))="",0,IF(IF(IF(ISERROR('Monthly P&amp;L, cash and runway'!U5=1),'Monthly P&amp;L, cash and runway'!U5=1,IF('Monthly P&amp;L, cash and runway'!U5="","",'Monthly P&amp;L, cash and runway'!U5=1))="",FALSE,IF(ISERROR('Monthly P&amp;L, cash and runway'!U5=1),'Monthly P&amp;L, cash and runway'!U5=1,IF('Monthly P&amp;L, cash and runway'!U5="","",'Monthly P&amp;L, cash and runway'!U5=1))),IF('Model inputs'!B42="","",'Model inputs'!B42),IF('Monthly P&amp;L, cash and runway'!T34="","",'Monthly P&amp;L, cash and runway'!T34)))+'Monthly P&amp;L, cash and runway'!U32</f>
        <v>12381.899999999998</v>
      </c>
      <c r="V34" s="12">
        <f>IF(IF(IF(IF(ISERROR('Monthly P&amp;L, cash and runway'!V5=1),'Monthly P&amp;L, cash and runway'!V5=1,IF('Monthly P&amp;L, cash and runway'!V5="","",'Monthly P&amp;L, cash and runway'!V5=1))="",FALSE,IF(ISERROR('Monthly P&amp;L, cash and runway'!V5=1),'Monthly P&amp;L, cash and runway'!V5=1,IF('Monthly P&amp;L, cash and runway'!V5="","",'Monthly P&amp;L, cash and runway'!V5=1))),IF('Model inputs'!B42="","",'Model inputs'!B42),IF('Monthly P&amp;L, cash and runway'!U34="","",'Monthly P&amp;L, cash and runway'!U34))="",0,IF(IF(IF(ISERROR('Monthly P&amp;L, cash and runway'!V5=1),'Monthly P&amp;L, cash and runway'!V5=1,IF('Monthly P&amp;L, cash and runway'!V5="","",'Monthly P&amp;L, cash and runway'!V5=1))="",FALSE,IF(ISERROR('Monthly P&amp;L, cash and runway'!V5=1),'Monthly P&amp;L, cash and runway'!V5=1,IF('Monthly P&amp;L, cash and runway'!V5="","",'Monthly P&amp;L, cash and runway'!V5=1))),IF('Model inputs'!B42="","",'Model inputs'!B42),IF('Monthly P&amp;L, cash and runway'!U34="","",'Monthly P&amp;L, cash and runway'!U34)))+'Monthly P&amp;L, cash and runway'!V32</f>
        <v>14072.787999999999</v>
      </c>
      <c r="W34" s="12">
        <f>IF(IF(IF(IF(ISERROR('Monthly P&amp;L, cash and runway'!W5=1),'Monthly P&amp;L, cash and runway'!W5=1,IF('Monthly P&amp;L, cash and runway'!W5="","",'Monthly P&amp;L, cash and runway'!W5=1))="",FALSE,IF(ISERROR('Monthly P&amp;L, cash and runway'!W5=1),'Monthly P&amp;L, cash and runway'!W5=1,IF('Monthly P&amp;L, cash and runway'!W5="","",'Monthly P&amp;L, cash and runway'!W5=1))),IF('Model inputs'!B42="","",'Model inputs'!B42),IF('Monthly P&amp;L, cash and runway'!V34="","",'Monthly P&amp;L, cash and runway'!V34))="",0,IF(IF(IF(ISERROR('Monthly P&amp;L, cash and runway'!W5=1),'Monthly P&amp;L, cash and runway'!W5=1,IF('Monthly P&amp;L, cash and runway'!W5="","",'Monthly P&amp;L, cash and runway'!W5=1))="",FALSE,IF(ISERROR('Monthly P&amp;L, cash and runway'!W5=1),'Monthly P&amp;L, cash and runway'!W5=1,IF('Monthly P&amp;L, cash and runway'!W5="","",'Monthly P&amp;L, cash and runway'!W5=1))),IF('Model inputs'!B42="","",'Model inputs'!B42),IF('Monthly P&amp;L, cash and runway'!V34="","",'Monthly P&amp;L, cash and runway'!V34)))+'Monthly P&amp;L, cash and runway'!W32</f>
        <v>16100.359999999999</v>
      </c>
      <c r="X34" s="12">
        <f>IF(IF(IF(IF(ISERROR('Monthly P&amp;L, cash and runway'!X5=1),'Monthly P&amp;L, cash and runway'!X5=1,IF('Monthly P&amp;L, cash and runway'!X5="","",'Monthly P&amp;L, cash and runway'!X5=1))="",FALSE,IF(ISERROR('Monthly P&amp;L, cash and runway'!X5=1),'Monthly P&amp;L, cash and runway'!X5=1,IF('Monthly P&amp;L, cash and runway'!X5="","",'Monthly P&amp;L, cash and runway'!X5=1))),IF('Model inputs'!B42="","",'Model inputs'!B42),IF('Monthly P&amp;L, cash and runway'!W34="","",'Monthly P&amp;L, cash and runway'!W34))="",0,IF(IF(IF(ISERROR('Monthly P&amp;L, cash and runway'!X5=1),'Monthly P&amp;L, cash and runway'!X5=1,IF('Monthly P&amp;L, cash and runway'!X5="","",'Monthly P&amp;L, cash and runway'!X5=1))="",FALSE,IF(ISERROR('Monthly P&amp;L, cash and runway'!X5=1),'Monthly P&amp;L, cash and runway'!X5=1,IF('Monthly P&amp;L, cash and runway'!X5="","",'Monthly P&amp;L, cash and runway'!X5=1))),IF('Model inputs'!B42="","",'Model inputs'!B42),IF('Monthly P&amp;L, cash and runway'!W34="","",'Monthly P&amp;L, cash and runway'!W34)))+'Monthly P&amp;L, cash and runway'!X32</f>
        <v>18251.555999999997</v>
      </c>
      <c r="Y34" s="12">
        <f>IF(IF(IF(IF(ISERROR('Monthly P&amp;L, cash and runway'!Y5=1),'Monthly P&amp;L, cash and runway'!Y5=1,IF('Monthly P&amp;L, cash and runway'!Y5="","",'Monthly P&amp;L, cash and runway'!Y5=1))="",FALSE,IF(ISERROR('Monthly P&amp;L, cash and runway'!Y5=1),'Monthly P&amp;L, cash and runway'!Y5=1,IF('Monthly P&amp;L, cash and runway'!Y5="","",'Monthly P&amp;L, cash and runway'!Y5=1))),IF('Model inputs'!B42="","",'Model inputs'!B42),IF('Monthly P&amp;L, cash and runway'!X34="","",'Monthly P&amp;L, cash and runway'!X34))="",0,IF(IF(IF(ISERROR('Monthly P&amp;L, cash and runway'!Y5=1),'Monthly P&amp;L, cash and runway'!Y5=1,IF('Monthly P&amp;L, cash and runway'!Y5="","",'Monthly P&amp;L, cash and runway'!Y5=1))="",FALSE,IF(ISERROR('Monthly P&amp;L, cash and runway'!Y5=1),'Monthly P&amp;L, cash and runway'!Y5=1,IF('Monthly P&amp;L, cash and runway'!Y5="","",'Monthly P&amp;L, cash and runway'!Y5=1))),IF('Model inputs'!B42="","",'Model inputs'!B42),IF('Monthly P&amp;L, cash and runway'!X34="","",'Monthly P&amp;L, cash and runway'!X34)))+'Monthly P&amp;L, cash and runway'!Y32</f>
        <v>20739.435999999998</v>
      </c>
    </row>
    <row r="35">
      <c r="A35" t="inlineStr" s="6">
        <is>
          <t xml:space="preserve">Months of runway</t>
        </is>
      </c>
      <c r="B35" s="16">
        <f>IF(IF(IF(ISERROR('Monthly P&amp;L, cash and runway'!B33&gt;0),'Monthly P&amp;L, cash and runway'!B33&gt;0,IF('Monthly P&amp;L, cash and runway'!B33="","",'Monthly P&amp;L, cash and runway'!B33&gt;0))="",FALSE,IF(ISERROR('Monthly P&amp;L, cash and runway'!B33&gt;0),'Monthly P&amp;L, cash and runway'!B33&gt;0,IF('Monthly P&amp;L, cash and runway'!B33="","",'Monthly P&amp;L, cash and runway'!B33&gt;0))),'Monthly P&amp;L, cash and runway'!B34/'Monthly P&amp;L, cash and runway'!B33,"")</f>
        <v>10.819213313161876</v>
      </c>
      <c r="C35" s="16">
        <f>IF(IF(IF(ISERROR('Monthly P&amp;L, cash and runway'!C33&gt;0),'Monthly P&amp;L, cash and runway'!C33&gt;0,IF('Monthly P&amp;L, cash and runway'!C33="","",'Monthly P&amp;L, cash and runway'!C33&gt;0))="",FALSE,IF(ISERROR('Monthly P&amp;L, cash and runway'!C33&gt;0),'Monthly P&amp;L, cash and runway'!C33&gt;0,IF('Monthly P&amp;L, cash and runway'!C33="","",'Monthly P&amp;L, cash and runway'!C33&gt;0))),'Monthly P&amp;L, cash and runway'!C34/'Monthly P&amp;L, cash and runway'!C33,"")</f>
        <v>9.819213313161876</v>
      </c>
      <c r="D35" s="16">
        <f>IF(IF(IF(ISERROR('Monthly P&amp;L, cash and runway'!D33&gt;0),'Monthly P&amp;L, cash and runway'!D33&gt;0,IF('Monthly P&amp;L, cash and runway'!D33="","",'Monthly P&amp;L, cash and runway'!D33&gt;0))="",FALSE,IF(ISERROR('Monthly P&amp;L, cash and runway'!D33&gt;0),'Monthly P&amp;L, cash and runway'!D33&gt;0,IF('Monthly P&amp;L, cash and runway'!D33="","",'Monthly P&amp;L, cash and runway'!D33&gt;0))),'Monthly P&amp;L, cash and runway'!D34/'Monthly P&amp;L, cash and runway'!D33,"")</f>
        <v>8.819213313161876</v>
      </c>
      <c r="E35" s="16">
        <f>IF(IF(IF(ISERROR('Monthly P&amp;L, cash and runway'!E33&gt;0),'Monthly P&amp;L, cash and runway'!E33&gt;0,IF('Monthly P&amp;L, cash and runway'!E33="","",'Monthly P&amp;L, cash and runway'!E33&gt;0))="",FALSE,IF(ISERROR('Monthly P&amp;L, cash and runway'!E33&gt;0),'Monthly P&amp;L, cash and runway'!E33&gt;0,IF('Monthly P&amp;L, cash and runway'!E33="","",'Monthly P&amp;L, cash and runway'!E33&gt;0))),'Monthly P&amp;L, cash and runway'!E34/'Monthly P&amp;L, cash and runway'!E33,"")</f>
        <v>8.366652339654623</v>
      </c>
      <c r="F35" s="16">
        <f>IF(IF(IF(ISERROR('Monthly P&amp;L, cash and runway'!F33&gt;0),'Monthly P&amp;L, cash and runway'!F33&gt;0,IF('Monthly P&amp;L, cash and runway'!F33="","",'Monthly P&amp;L, cash and runway'!F33&gt;0))="",FALSE,IF(ISERROR('Monthly P&amp;L, cash and runway'!F33&gt;0),'Monthly P&amp;L, cash and runway'!F33&gt;0,IF('Monthly P&amp;L, cash and runway'!F33="","",'Monthly P&amp;L, cash and runway'!F33&gt;0))),'Monthly P&amp;L, cash and runway'!F34/'Monthly P&amp;L, cash and runway'!F33,"")</f>
        <v>8.706288329263517</v>
      </c>
      <c r="G35" s="16">
        <f>IF(IF(IF(ISERROR('Monthly P&amp;L, cash and runway'!G33&gt;0),'Monthly P&amp;L, cash and runway'!G33&gt;0,IF('Monthly P&amp;L, cash and runway'!G33="","",'Monthly P&amp;L, cash and runway'!G33&gt;0))="",FALSE,IF(ISERROR('Monthly P&amp;L, cash and runway'!G33&gt;0),'Monthly P&amp;L, cash and runway'!G33&gt;0,IF('Monthly P&amp;L, cash and runway'!G33="","",'Monthly P&amp;L, cash and runway'!G33&gt;0))),'Monthly P&amp;L, cash and runway'!G34/'Monthly P&amp;L, cash and runway'!G33,"")</f>
        <v>8.381901724960453</v>
      </c>
      <c r="H35" s="16">
        <f>IF(IF(IF(ISERROR('Monthly P&amp;L, cash and runway'!H33&gt;0),'Monthly P&amp;L, cash and runway'!H33&gt;0,IF('Monthly P&amp;L, cash and runway'!H33="","",'Monthly P&amp;L, cash and runway'!H33&gt;0))="",FALSE,IF(ISERROR('Monthly P&amp;L, cash and runway'!H33&gt;0),'Monthly P&amp;L, cash and runway'!H33&gt;0,IF('Monthly P&amp;L, cash and runway'!H33="","",'Monthly P&amp;L, cash and runway'!H33&gt;0))),'Monthly P&amp;L, cash and runway'!H34/'Monthly P&amp;L, cash and runway'!H33,"")</f>
        <v>8.08706351193911</v>
      </c>
      <c r="I35" s="16">
        <f>IF(IF(IF(ISERROR('Monthly P&amp;L, cash and runway'!I33&gt;0),'Monthly P&amp;L, cash and runway'!I33&gt;0,IF('Monthly P&amp;L, cash and runway'!I33="","",'Monthly P&amp;L, cash and runway'!I33&gt;0))="",FALSE,IF(ISERROR('Monthly P&amp;L, cash and runway'!I33&gt;0),'Monthly P&amp;L, cash and runway'!I33&gt;0,IF('Monthly P&amp;L, cash and runway'!I33="","",'Monthly P&amp;L, cash and runway'!I33&gt;0))),'Monthly P&amp;L, cash and runway'!I34/'Monthly P&amp;L, cash and runway'!I33,"")</f>
        <v>8.947884786670503</v>
      </c>
      <c r="J35" s="16">
        <f>IF(IF(IF(ISERROR('Monthly P&amp;L, cash and runway'!J33&gt;0),'Monthly P&amp;L, cash and runway'!J33&gt;0,IF('Monthly P&amp;L, cash and runway'!J33="","",'Monthly P&amp;L, cash and runway'!J33&gt;0))="",FALSE,IF(ISERROR('Monthly P&amp;L, cash and runway'!J33&gt;0),'Monthly P&amp;L, cash and runway'!J33&gt;0,IF('Monthly P&amp;L, cash and runway'!J33="","",'Monthly P&amp;L, cash and runway'!J33&gt;0))),'Monthly P&amp;L, cash and runway'!J34/'Monthly P&amp;L, cash and runway'!J33,"")</f>
        <v>8.980764921192199</v>
      </c>
      <c r="K35" s="16">
        <f>IF(IF(IF(ISERROR('Monthly P&amp;L, cash and runway'!K33&gt;0),'Monthly P&amp;L, cash and runway'!K33&gt;0,IF('Monthly P&amp;L, cash and runway'!K33="","",'Monthly P&amp;L, cash and runway'!K33&gt;0))="",FALSE,IF(ISERROR('Monthly P&amp;L, cash and runway'!K33&gt;0),'Monthly P&amp;L, cash and runway'!K33&gt;0,IF('Monthly P&amp;L, cash and runway'!K33="","",'Monthly P&amp;L, cash and runway'!K33&gt;0))),'Monthly P&amp;L, cash and runway'!K34/'Monthly P&amp;L, cash and runway'!K33,"")</f>
        <v>9.152723004298368</v>
      </c>
      <c r="L35" s="16">
        <f>IF(IF(IF(ISERROR('Monthly P&amp;L, cash and runway'!L33&gt;0),'Monthly P&amp;L, cash and runway'!L33&gt;0,IF('Monthly P&amp;L, cash and runway'!L33="","",'Monthly P&amp;L, cash and runway'!L33&gt;0))="",FALSE,IF(ISERROR('Monthly P&amp;L, cash and runway'!L33&gt;0),'Monthly P&amp;L, cash and runway'!L33&gt;0,IF('Monthly P&amp;L, cash and runway'!L33="","",'Monthly P&amp;L, cash and runway'!L33&gt;0))),'Monthly P&amp;L, cash and runway'!L34/'Monthly P&amp;L, cash and runway'!L33,"")</f>
        <v>11.89393038140331</v>
      </c>
      <c r="M35" s="16">
        <f>IF(IF(IF(ISERROR('Monthly P&amp;L, cash and runway'!M33&gt;0),'Monthly P&amp;L, cash and runway'!M33&gt;0,IF('Monthly P&amp;L, cash and runway'!M33="","",'Monthly P&amp;L, cash and runway'!M33&gt;0))="",FALSE,IF(ISERROR('Monthly P&amp;L, cash and runway'!M33&gt;0),'Monthly P&amp;L, cash and runway'!M33&gt;0,IF('Monthly P&amp;L, cash and runway'!M33="","",'Monthly P&amp;L, cash and runway'!M33&gt;0))),'Monthly P&amp;L, cash and runway'!M34/'Monthly P&amp;L, cash and runway'!M33,"")</f>
        <v>13.572990306828947</v>
      </c>
      <c r="N35" s="16">
        <f>IF(IF(IF(ISERROR('Monthly P&amp;L, cash and runway'!N33&gt;0),'Monthly P&amp;L, cash and runway'!N33&gt;0,IF('Monthly P&amp;L, cash and runway'!N33="","",'Monthly P&amp;L, cash and runway'!N33&gt;0))="",FALSE,IF(ISERROR('Monthly P&amp;L, cash and runway'!N33&gt;0),'Monthly P&amp;L, cash and runway'!N33&gt;0,IF('Monthly P&amp;L, cash and runway'!N33="","",'Monthly P&amp;L, cash and runway'!N33&gt;0))),'Monthly P&amp;L, cash and runway'!N34/'Monthly P&amp;L, cash and runway'!N33,"")</f>
        <v>34.112841493994985</v>
      </c>
      <c r="O35" s="16">
        <f>IF(IF(IF(ISERROR('Monthly P&amp;L, cash and runway'!O33&gt;0),'Monthly P&amp;L, cash and runway'!O33&gt;0,IF('Monthly P&amp;L, cash and runway'!O33="","",'Monthly P&amp;L, cash and runway'!O33&gt;0))="",FALSE,IF(ISERROR('Monthly P&amp;L, cash and runway'!O33&gt;0),'Monthly P&amp;L, cash and runway'!O33&gt;0,IF('Monthly P&amp;L, cash and runway'!O33="","",'Monthly P&amp;L, cash and runway'!O33&gt;0))),'Monthly P&amp;L, cash and runway'!O34/'Monthly P&amp;L, cash and runway'!O33,"")</f>
        <v>80.74721004834393</v>
      </c>
      <c r="P35" t="str" s="16">
        <f>IF(IF(IF(ISERROR('Monthly P&amp;L, cash and runway'!P33&gt;0),'Monthly P&amp;L, cash and runway'!P33&gt;0,IF('Monthly P&amp;L, cash and runway'!P33="","",'Monthly P&amp;L, cash and runway'!P33&gt;0))="",FALSE,IF(ISERROR('Monthly P&amp;L, cash and runway'!P33&gt;0),'Monthly P&amp;L, cash and runway'!P33&gt;0,IF('Monthly P&amp;L, cash and runway'!P33="","",'Monthly P&amp;L, cash and runway'!P33&gt;0))),'Monthly P&amp;L, cash and runway'!P34/'Monthly P&amp;L, cash and runway'!P33,"")</f>
        <v/>
      </c>
      <c r="Q35" t="str" s="16">
        <f>IF(IF(IF(ISERROR('Monthly P&amp;L, cash and runway'!Q33&gt;0),'Monthly P&amp;L, cash and runway'!Q33&gt;0,IF('Monthly P&amp;L, cash and runway'!Q33="","",'Monthly P&amp;L, cash and runway'!Q33&gt;0))="",FALSE,IF(ISERROR('Monthly P&amp;L, cash and runway'!Q33&gt;0),'Monthly P&amp;L, cash and runway'!Q33&gt;0,IF('Monthly P&amp;L, cash and runway'!Q33="","",'Monthly P&amp;L, cash and runway'!Q33&gt;0))),'Monthly P&amp;L, cash and runway'!Q34/'Monthly P&amp;L, cash and runway'!Q33,"")</f>
        <v/>
      </c>
      <c r="R35" t="str" s="16">
        <f>IF(IF(IF(ISERROR('Monthly P&amp;L, cash and runway'!R33&gt;0),'Monthly P&amp;L, cash and runway'!R33&gt;0,IF('Monthly P&amp;L, cash and runway'!R33="","",'Monthly P&amp;L, cash and runway'!R33&gt;0))="",FALSE,IF(ISERROR('Monthly P&amp;L, cash and runway'!R33&gt;0),'Monthly P&amp;L, cash and runway'!R33&gt;0,IF('Monthly P&amp;L, cash and runway'!R33="","",'Monthly P&amp;L, cash and runway'!R33&gt;0))),'Monthly P&amp;L, cash and runway'!R34/'Monthly P&amp;L, cash and runway'!R33,"")</f>
        <v/>
      </c>
      <c r="S35" t="str" s="16">
        <f>IF(IF(IF(ISERROR('Monthly P&amp;L, cash and runway'!S33&gt;0),'Monthly P&amp;L, cash and runway'!S33&gt;0,IF('Monthly P&amp;L, cash and runway'!S33="","",'Monthly P&amp;L, cash and runway'!S33&gt;0))="",FALSE,IF(ISERROR('Monthly P&amp;L, cash and runway'!S33&gt;0),'Monthly P&amp;L, cash and runway'!S33&gt;0,IF('Monthly P&amp;L, cash and runway'!S33="","",'Monthly P&amp;L, cash and runway'!S33&gt;0))),'Monthly P&amp;L, cash and runway'!S34/'Monthly P&amp;L, cash and runway'!S33,"")</f>
        <v/>
      </c>
      <c r="T35" t="str" s="16">
        <f>IF(IF(IF(ISERROR('Monthly P&amp;L, cash and runway'!T33&gt;0),'Monthly P&amp;L, cash and runway'!T33&gt;0,IF('Monthly P&amp;L, cash and runway'!T33="","",'Monthly P&amp;L, cash and runway'!T33&gt;0))="",FALSE,IF(ISERROR('Monthly P&amp;L, cash and runway'!T33&gt;0),'Monthly P&amp;L, cash and runway'!T33&gt;0,IF('Monthly P&amp;L, cash and runway'!T33="","",'Monthly P&amp;L, cash and runway'!T33&gt;0))),'Monthly P&amp;L, cash and runway'!T34/'Monthly P&amp;L, cash and runway'!T33,"")</f>
        <v/>
      </c>
      <c r="U35" t="str" s="16">
        <f>IF(IF(IF(ISERROR('Monthly P&amp;L, cash and runway'!U33&gt;0),'Monthly P&amp;L, cash and runway'!U33&gt;0,IF('Monthly P&amp;L, cash and runway'!U33="","",'Monthly P&amp;L, cash and runway'!U33&gt;0))="",FALSE,IF(ISERROR('Monthly P&amp;L, cash and runway'!U33&gt;0),'Monthly P&amp;L, cash and runway'!U33&gt;0,IF('Monthly P&amp;L, cash and runway'!U33="","",'Monthly P&amp;L, cash and runway'!U33&gt;0))),'Monthly P&amp;L, cash and runway'!U34/'Monthly P&amp;L, cash and runway'!U33,"")</f>
        <v/>
      </c>
      <c r="V35" t="str" s="16">
        <f>IF(IF(IF(ISERROR('Monthly P&amp;L, cash and runway'!V33&gt;0),'Monthly P&amp;L, cash and runway'!V33&gt;0,IF('Monthly P&amp;L, cash and runway'!V33="","",'Monthly P&amp;L, cash and runway'!V33&gt;0))="",FALSE,IF(ISERROR('Monthly P&amp;L, cash and runway'!V33&gt;0),'Monthly P&amp;L, cash and runway'!V33&gt;0,IF('Monthly P&amp;L, cash and runway'!V33="","",'Monthly P&amp;L, cash and runway'!V33&gt;0))),'Monthly P&amp;L, cash and runway'!V34/'Monthly P&amp;L, cash and runway'!V33,"")</f>
        <v/>
      </c>
      <c r="W35" t="str" s="16">
        <f>IF(IF(IF(ISERROR('Monthly P&amp;L, cash and runway'!W33&gt;0),'Monthly P&amp;L, cash and runway'!W33&gt;0,IF('Monthly P&amp;L, cash and runway'!W33="","",'Monthly P&amp;L, cash and runway'!W33&gt;0))="",FALSE,IF(ISERROR('Monthly P&amp;L, cash and runway'!W33&gt;0),'Monthly P&amp;L, cash and runway'!W33&gt;0,IF('Monthly P&amp;L, cash and runway'!W33="","",'Monthly P&amp;L, cash and runway'!W33&gt;0))),'Monthly P&amp;L, cash and runway'!W34/'Monthly P&amp;L, cash and runway'!W33,"")</f>
        <v/>
      </c>
      <c r="X35" t="str" s="16">
        <f>IF(IF(IF(ISERROR('Monthly P&amp;L, cash and runway'!X33&gt;0),'Monthly P&amp;L, cash and runway'!X33&gt;0,IF('Monthly P&amp;L, cash and runway'!X33="","",'Monthly P&amp;L, cash and runway'!X33&gt;0))="",FALSE,IF(ISERROR('Monthly P&amp;L, cash and runway'!X33&gt;0),'Monthly P&amp;L, cash and runway'!X33&gt;0,IF('Monthly P&amp;L, cash and runway'!X33="","",'Monthly P&amp;L, cash and runway'!X33&gt;0))),'Monthly P&amp;L, cash and runway'!X34/'Monthly P&amp;L, cash and runway'!X33,"")</f>
        <v/>
      </c>
      <c r="Y35" t="str" s="16">
        <f>IF(IF(IF(ISERROR('Monthly P&amp;L, cash and runway'!Y33&gt;0),'Monthly P&amp;L, cash and runway'!Y33&gt;0,IF('Monthly P&amp;L, cash and runway'!Y33="","",'Monthly P&amp;L, cash and runway'!Y33&gt;0))="",FALSE,IF(ISERROR('Monthly P&amp;L, cash and runway'!Y33&gt;0),'Monthly P&amp;L, cash and runway'!Y33&gt;0,IF('Monthly P&amp;L, cash and runway'!Y33="","",'Monthly P&amp;L, cash and runway'!Y33&gt;0))),'Monthly P&amp;L, cash and runway'!Y34/'Monthly P&amp;L, cash and runway'!Y33,"")</f>
        <v/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AB66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7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2026-09</t>
        </is>
      </c>
      <c r="D5" t="inlineStr" s="5">
        <is>
          <t xml:space="preserve">2026-10</t>
        </is>
      </c>
      <c r="E5" t="inlineStr" s="4">
        <is>
          <t xml:space="preserve">2026-11</t>
        </is>
      </c>
      <c r="F5" t="inlineStr" s="4">
        <is>
          <t xml:space="preserve">2026-12</t>
        </is>
      </c>
      <c r="G5" t="inlineStr" s="5">
        <is>
          <t xml:space="preserve">2027-01</t>
        </is>
      </c>
      <c r="H5" t="inlineStr" s="4">
        <is>
          <t xml:space="preserve">2027-02</t>
        </is>
      </c>
      <c r="I5" t="inlineStr" s="4">
        <is>
          <t xml:space="preserve">2027-03</t>
        </is>
      </c>
      <c r="J5" t="inlineStr" s="5">
        <is>
          <t xml:space="preserve">2027-04</t>
        </is>
      </c>
      <c r="K5" t="inlineStr" s="4">
        <is>
          <t xml:space="preserve">2027-05</t>
        </is>
      </c>
      <c r="L5" t="inlineStr" s="4">
        <is>
          <t xml:space="preserve">2027-06</t>
        </is>
      </c>
      <c r="M5" t="inlineStr" s="5">
        <is>
          <t xml:space="preserve">2027-07</t>
        </is>
      </c>
      <c r="N5" t="inlineStr" s="4">
        <is>
          <t xml:space="preserve">2027-08</t>
        </is>
      </c>
      <c r="O5" t="inlineStr" s="4">
        <is>
          <t xml:space="preserve">2027-09</t>
        </is>
      </c>
      <c r="P5" t="inlineStr" s="5">
        <is>
          <t xml:space="preserve">2027-10</t>
        </is>
      </c>
      <c r="Q5" t="inlineStr" s="4">
        <is>
          <t xml:space="preserve">2027-11</t>
        </is>
      </c>
      <c r="R5" t="inlineStr" s="4">
        <is>
          <t xml:space="preserve">2027-12</t>
        </is>
      </c>
      <c r="S5" t="inlineStr" s="5">
        <is>
          <t xml:space="preserve">2028-01</t>
        </is>
      </c>
      <c r="T5" t="inlineStr" s="4">
        <is>
          <t xml:space="preserve">2028-02</t>
        </is>
      </c>
      <c r="U5" t="inlineStr" s="4">
        <is>
          <t xml:space="preserve">2028-03</t>
        </is>
      </c>
      <c r="V5" t="inlineStr" s="5">
        <is>
          <t xml:space="preserve">2028-04</t>
        </is>
      </c>
      <c r="W5" t="inlineStr" s="4">
        <is>
          <t xml:space="preserve">2028-05</t>
        </is>
      </c>
      <c r="X5" t="inlineStr" s="4">
        <is>
          <t xml:space="preserve">2028-06</t>
        </is>
      </c>
      <c r="Y5" t="inlineStr" s="5">
        <is>
          <t xml:space="preserve">2028-07</t>
        </is>
      </c>
      <c r="Z5" t="inlineStr" s="4">
        <is>
          <t xml:space="preserve">2028-08</t>
        </is>
      </c>
      <c r="AA5" t="inlineStr" s="4">
        <is>
          <t xml:space="preserve">2028-09</t>
        </is>
      </c>
      <c r="AB5" t="inlineStr" s="5">
        <is>
          <t xml:space="preserve">2028-10</t>
        </is>
      </c>
    </row>
    <row r="6">
      <c r="A6" t="inlineStr" s="18">
        <is>
          <t xml:space="preserve">Allowance utilization</t>
        </is>
      </c>
      <c r="B6" s="19">
        <f>1</f>
        <v>1</v>
      </c>
    </row>
    <row r="7">
      <c r="A7" t="inlineStr" s="18">
        <is>
          <t xml:space="preserve">Analysis runs</t>
        </is>
      </c>
      <c r="C7" s="7">
        <f>SUM('Model inputs'!C8,'Model inputs'!C9)</f>
        <v>0</v>
      </c>
      <c r="D7" s="7">
        <f>SUM('Model inputs'!D8,'Model inputs'!D9)</f>
        <v>0</v>
      </c>
      <c r="E7" s="7">
        <f>SUM('Model inputs'!E8,'Model inputs'!E9)</f>
        <v>0</v>
      </c>
      <c r="F7" s="7">
        <f>SUM('Model inputs'!F8,'Model inputs'!F9)</f>
        <v>0</v>
      </c>
      <c r="G7" s="7">
        <f>SUM('Model inputs'!G8,'Model inputs'!G9)</f>
        <v>0</v>
      </c>
      <c r="H7" s="7">
        <f>SUM('Model inputs'!H8,'Model inputs'!H9)</f>
        <v>16</v>
      </c>
      <c r="I7" s="7">
        <f>SUM('Model inputs'!I8,'Model inputs'!I9)</f>
        <v>64</v>
      </c>
      <c r="J7" s="7">
        <f>SUM('Model inputs'!J8,'Model inputs'!J9)</f>
        <v>80</v>
      </c>
      <c r="K7" s="7">
        <f>SUM('Model inputs'!K8,'Model inputs'!K9)</f>
        <v>96</v>
      </c>
      <c r="L7" s="7">
        <f>SUM('Model inputs'!L8,'Model inputs'!L9)</f>
        <v>144</v>
      </c>
      <c r="M7" s="7">
        <f>SUM('Model inputs'!M8,'Model inputs'!M9)</f>
        <v>160</v>
      </c>
      <c r="N7" s="7">
        <f>SUM('Model inputs'!N8,'Model inputs'!N9)</f>
        <v>176</v>
      </c>
      <c r="O7" s="7">
        <f>SUM('Model inputs'!O8,'Model inputs'!O9)</f>
        <v>224</v>
      </c>
      <c r="P7" s="7">
        <f>SUM('Model inputs'!P8,'Model inputs'!P9)</f>
        <v>240</v>
      </c>
      <c r="Q7" s="7">
        <f>SUM('Model inputs'!Q8,'Model inputs'!Q9)</f>
        <v>296</v>
      </c>
      <c r="R7" s="7">
        <f>SUM('Model inputs'!R8,'Model inputs'!R9)</f>
        <v>312</v>
      </c>
      <c r="S7" s="7">
        <f>SUM('Model inputs'!S8,'Model inputs'!S9)</f>
        <v>368</v>
      </c>
      <c r="T7" s="7">
        <f>SUM('Model inputs'!T8,'Model inputs'!T9)</f>
        <v>384</v>
      </c>
      <c r="U7" s="7">
        <f>SUM('Model inputs'!U8,'Model inputs'!U9)</f>
        <v>440</v>
      </c>
      <c r="V7" s="7">
        <f>SUM('Model inputs'!V8,'Model inputs'!V9)</f>
        <v>504</v>
      </c>
      <c r="W7" s="7">
        <f>SUM('Model inputs'!W8,'Model inputs'!W9)</f>
        <v>520</v>
      </c>
      <c r="X7" s="7">
        <f>SUM('Model inputs'!X8,'Model inputs'!X9)</f>
        <v>576</v>
      </c>
      <c r="Y7" s="7">
        <f>SUM('Model inputs'!Y8,'Model inputs'!Y9)</f>
        <v>592</v>
      </c>
      <c r="Z7" s="7">
        <f>SUM('Model inputs'!Z8,'Model inputs'!Z9)</f>
        <v>648</v>
      </c>
      <c r="AA7" s="7">
        <f>SUM('Model inputs'!AA8,'Model inputs'!AA9)</f>
        <v>664</v>
      </c>
      <c r="AB7" s="7">
        <f>SUM('Model inputs'!AB8,'Model inputs'!AB9)</f>
        <v>720</v>
      </c>
    </row>
    <row r="8" outlineLevel="1">
      <c r="A8" t="inlineStr" s="20">
        <is>
          <t xml:space="preserve">Analysis runs &gt; Starter</t>
        </is>
      </c>
      <c r="C8" s="9">
        <f>0</f>
        <v>0</v>
      </c>
      <c r="D8" s="9">
        <f>'Model inputs'!D17*'Model inputs'!B26*'Model inputs'!B6</f>
        <v>0</v>
      </c>
      <c r="E8" s="9">
        <f>'Model inputs'!E17*'Model inputs'!B26*'Model inputs'!B6</f>
        <v>0</v>
      </c>
      <c r="F8" s="9">
        <f>'Model inputs'!F17*'Model inputs'!B26*'Model inputs'!B6</f>
        <v>0</v>
      </c>
      <c r="G8" s="9">
        <f>'Model inputs'!G17*'Model inputs'!B26*'Model inputs'!B6</f>
        <v>0</v>
      </c>
      <c r="H8" s="9">
        <f>'Model inputs'!H17*'Model inputs'!B26*'Model inputs'!B6</f>
        <v>16</v>
      </c>
      <c r="I8" s="9">
        <f>'Model inputs'!I17*'Model inputs'!B26*'Model inputs'!B6</f>
        <v>24</v>
      </c>
      <c r="J8" s="9">
        <f>'Model inputs'!J17*'Model inputs'!B26*'Model inputs'!B6</f>
        <v>40</v>
      </c>
      <c r="K8" s="9">
        <f>'Model inputs'!K17*'Model inputs'!B26*'Model inputs'!B6</f>
        <v>56</v>
      </c>
      <c r="L8" s="9">
        <f>'Model inputs'!L17*'Model inputs'!B26*'Model inputs'!B6</f>
        <v>64</v>
      </c>
      <c r="M8" s="9">
        <f>'Model inputs'!M17*'Model inputs'!B26*'Model inputs'!B6</f>
        <v>80</v>
      </c>
      <c r="N8" s="9">
        <f>'Model inputs'!N17*'Model inputs'!B26*'Model inputs'!B6</f>
        <v>96</v>
      </c>
      <c r="O8" s="9">
        <f>'Model inputs'!O17*'Model inputs'!B26*'Model inputs'!B6</f>
        <v>104</v>
      </c>
      <c r="P8" s="9">
        <f>'Model inputs'!P17*'Model inputs'!B26*'Model inputs'!B6</f>
        <v>120</v>
      </c>
      <c r="Q8" s="9">
        <f>'Model inputs'!Q17*'Model inputs'!B26*'Model inputs'!B6</f>
        <v>136</v>
      </c>
      <c r="R8" s="9">
        <f>'Model inputs'!R17*'Model inputs'!B26*'Model inputs'!B6</f>
        <v>152</v>
      </c>
      <c r="S8" s="9">
        <f>'Model inputs'!S17*'Model inputs'!B26*'Model inputs'!B6</f>
        <v>168</v>
      </c>
      <c r="T8" s="9">
        <f>'Model inputs'!T17*'Model inputs'!B26*'Model inputs'!B6</f>
        <v>184</v>
      </c>
      <c r="U8" s="9">
        <f>'Model inputs'!U17*'Model inputs'!B26*'Model inputs'!B6</f>
        <v>200</v>
      </c>
      <c r="V8" s="9">
        <f>'Model inputs'!V17*'Model inputs'!B26*'Model inputs'!B6</f>
        <v>224</v>
      </c>
      <c r="W8" s="9">
        <f>'Model inputs'!W17*'Model inputs'!B26*'Model inputs'!B6</f>
        <v>240</v>
      </c>
      <c r="X8" s="9">
        <f>'Model inputs'!X17*'Model inputs'!B26*'Model inputs'!B6</f>
        <v>256</v>
      </c>
      <c r="Y8" s="9">
        <f>'Model inputs'!Y17*'Model inputs'!B26*'Model inputs'!B6</f>
        <v>272</v>
      </c>
      <c r="Z8" s="9">
        <f>'Model inputs'!Z17*'Model inputs'!B26*'Model inputs'!B6</f>
        <v>288</v>
      </c>
      <c r="AA8" s="9">
        <f>'Model inputs'!AA17*'Model inputs'!B26*'Model inputs'!B6</f>
        <v>304</v>
      </c>
      <c r="AB8" s="9">
        <f>'Model inputs'!AB17*'Model inputs'!B26*'Model inputs'!B6</f>
        <v>320</v>
      </c>
    </row>
    <row r="9" outlineLevel="1">
      <c r="A9" t="inlineStr" s="20">
        <is>
          <t xml:space="preserve">Analysis runs &gt; Team</t>
        </is>
      </c>
      <c r="C9" s="9">
        <f>0</f>
        <v>0</v>
      </c>
      <c r="D9" s="9">
        <f>'Model inputs'!D18*'Model inputs'!B27*'Model inputs'!B6</f>
        <v>0</v>
      </c>
      <c r="E9" s="9">
        <f>'Model inputs'!E18*'Model inputs'!B27*'Model inputs'!B6</f>
        <v>0</v>
      </c>
      <c r="F9" s="9">
        <f>'Model inputs'!F18*'Model inputs'!B27*'Model inputs'!B6</f>
        <v>0</v>
      </c>
      <c r="G9" s="9">
        <f>'Model inputs'!G18*'Model inputs'!B27*'Model inputs'!B6</f>
        <v>0</v>
      </c>
      <c r="H9" s="9">
        <f>'Model inputs'!H18*'Model inputs'!B27*'Model inputs'!B6</f>
        <v>0</v>
      </c>
      <c r="I9" s="9">
        <f>'Model inputs'!I18*'Model inputs'!B27*'Model inputs'!B6</f>
        <v>40</v>
      </c>
      <c r="J9" s="9">
        <f>'Model inputs'!J18*'Model inputs'!B27*'Model inputs'!B6</f>
        <v>40</v>
      </c>
      <c r="K9" s="9">
        <f>'Model inputs'!K18*'Model inputs'!B27*'Model inputs'!B6</f>
        <v>40</v>
      </c>
      <c r="L9" s="9">
        <f>'Model inputs'!L18*'Model inputs'!B27*'Model inputs'!B6</f>
        <v>80</v>
      </c>
      <c r="M9" s="9">
        <f>'Model inputs'!M18*'Model inputs'!B27*'Model inputs'!B6</f>
        <v>80</v>
      </c>
      <c r="N9" s="9">
        <f>'Model inputs'!N18*'Model inputs'!B27*'Model inputs'!B6</f>
        <v>80</v>
      </c>
      <c r="O9" s="9">
        <f>'Model inputs'!O18*'Model inputs'!B27*'Model inputs'!B6</f>
        <v>120</v>
      </c>
      <c r="P9" s="9">
        <f>'Model inputs'!P18*'Model inputs'!B27*'Model inputs'!B6</f>
        <v>120</v>
      </c>
      <c r="Q9" s="9">
        <f>'Model inputs'!Q18*'Model inputs'!B27*'Model inputs'!B6</f>
        <v>160</v>
      </c>
      <c r="R9" s="9">
        <f>'Model inputs'!R18*'Model inputs'!B27*'Model inputs'!B6</f>
        <v>160</v>
      </c>
      <c r="S9" s="9">
        <f>'Model inputs'!S18*'Model inputs'!B27*'Model inputs'!B6</f>
        <v>200</v>
      </c>
      <c r="T9" s="9">
        <f>'Model inputs'!T18*'Model inputs'!B27*'Model inputs'!B6</f>
        <v>200</v>
      </c>
      <c r="U9" s="9">
        <f>'Model inputs'!U18*'Model inputs'!B27*'Model inputs'!B6</f>
        <v>240</v>
      </c>
      <c r="V9" s="9">
        <f>'Model inputs'!V18*'Model inputs'!B27*'Model inputs'!B6</f>
        <v>280</v>
      </c>
      <c r="W9" s="9">
        <f>'Model inputs'!W18*'Model inputs'!B27*'Model inputs'!B6</f>
        <v>280</v>
      </c>
      <c r="X9" s="9">
        <f>'Model inputs'!X18*'Model inputs'!B27*'Model inputs'!B6</f>
        <v>320</v>
      </c>
      <c r="Y9" s="9">
        <f>'Model inputs'!Y18*'Model inputs'!B27*'Model inputs'!B6</f>
        <v>320</v>
      </c>
      <c r="Z9" s="9">
        <f>'Model inputs'!Z18*'Model inputs'!B27*'Model inputs'!B6</f>
        <v>360</v>
      </c>
      <c r="AA9" s="9">
        <f>'Model inputs'!AA18*'Model inputs'!B27*'Model inputs'!B6</f>
        <v>360</v>
      </c>
      <c r="AB9" s="9">
        <f>'Model inputs'!AB18*'Model inputs'!B27*'Model inputs'!B6</f>
        <v>400</v>
      </c>
    </row>
    <row r="10">
      <c r="A10" t="inlineStr" s="18">
        <is>
          <t xml:space="preserve">Cache hit rate</t>
        </is>
      </c>
      <c r="B10" s="19">
        <f>0.5</f>
        <v>0.5</v>
      </c>
    </row>
    <row r="11">
      <c r="A11" t="inlineStr" s="18">
        <is>
          <t xml:space="preserve">COGS</t>
        </is>
      </c>
      <c r="C11" s="12">
        <v>0</v>
      </c>
      <c r="D11" s="12">
        <f>'Model inputs'!D29+'Model inputs'!D12+'Model inputs'!D23</f>
        <v>0</v>
      </c>
      <c r="E11" s="12">
        <f>'Model inputs'!E29+'Model inputs'!E12+'Model inputs'!E23</f>
        <v>15.2</v>
      </c>
      <c r="F11" s="12">
        <f>'Model inputs'!F29+'Model inputs'!F12+'Model inputs'!F23</f>
        <v>15.2</v>
      </c>
      <c r="G11" s="12">
        <f>'Model inputs'!G29+'Model inputs'!G12+'Model inputs'!G23</f>
        <v>15.2</v>
      </c>
      <c r="H11" s="12">
        <f>'Model inputs'!H29+'Model inputs'!H12+'Model inputs'!H23</f>
        <v>89.57600000000001</v>
      </c>
      <c r="I11" s="12">
        <f>'Model inputs'!I29+'Model inputs'!I12+'Model inputs'!I23</f>
        <v>312.704</v>
      </c>
      <c r="J11" s="12">
        <f>'Model inputs'!J29+'Model inputs'!J12+'Model inputs'!J23</f>
        <v>387.08</v>
      </c>
      <c r="K11" s="12">
        <f>'Model inputs'!K29+'Model inputs'!K12+'Model inputs'!K23</f>
        <v>461.456</v>
      </c>
      <c r="L11" s="12">
        <f>'Model inputs'!L29+'Model inputs'!L12+'Model inputs'!L23</f>
        <v>684.5840000000001</v>
      </c>
      <c r="M11" s="12">
        <f>'Model inputs'!M29+'Model inputs'!M12+'Model inputs'!M23</f>
        <v>758.96</v>
      </c>
      <c r="N11" s="12">
        <f>'Model inputs'!N29+'Model inputs'!N12+'Model inputs'!N23</f>
        <v>833.336</v>
      </c>
      <c r="O11" s="12">
        <f>'Model inputs'!O29+'Model inputs'!O12+'Model inputs'!O23</f>
        <v>1056.4640000000002</v>
      </c>
      <c r="P11" s="12">
        <f>'Model inputs'!P29+'Model inputs'!P12+'Model inputs'!P23</f>
        <v>1130.84</v>
      </c>
      <c r="Q11" s="12">
        <f>'Model inputs'!Q29+'Model inputs'!Q12+'Model inputs'!Q23</f>
        <v>1391.156</v>
      </c>
      <c r="R11" s="12">
        <f>'Model inputs'!R29+'Model inputs'!R12+'Model inputs'!R23</f>
        <v>1465.5320000000002</v>
      </c>
      <c r="S11" s="12">
        <f>'Model inputs'!S29+'Model inputs'!S12+'Model inputs'!S23</f>
        <v>1725.848</v>
      </c>
      <c r="T11" s="12">
        <f>'Model inputs'!T29+'Model inputs'!T12+'Model inputs'!T23</f>
        <v>1800.224</v>
      </c>
      <c r="U11" s="12">
        <f>'Model inputs'!U29+'Model inputs'!U12+'Model inputs'!U23</f>
        <v>2060.54</v>
      </c>
      <c r="V11" s="12">
        <f>'Model inputs'!V29+'Model inputs'!V12+'Model inputs'!V23</f>
        <v>2358.0440000000003</v>
      </c>
      <c r="W11" s="12">
        <f>'Model inputs'!W29+'Model inputs'!W12+'Model inputs'!W23</f>
        <v>2432.42</v>
      </c>
      <c r="X11" s="12">
        <f>'Model inputs'!X29+'Model inputs'!X12+'Model inputs'!X23</f>
        <v>2692.736</v>
      </c>
      <c r="Y11" s="12">
        <f>'Model inputs'!Y29+'Model inputs'!Y12+'Model inputs'!Y23</f>
        <v>2767.1119999999996</v>
      </c>
      <c r="Z11" s="12">
        <f>'Model inputs'!Z29+'Model inputs'!Z12+'Model inputs'!Z23</f>
        <v>3027.428</v>
      </c>
      <c r="AA11" s="12">
        <f>'Model inputs'!AA29+'Model inputs'!AA12+'Model inputs'!AA23</f>
        <v>3101.804</v>
      </c>
      <c r="AB11" s="12">
        <f>'Model inputs'!AB29+'Model inputs'!AB12+'Model inputs'!AB23</f>
        <v>3362.12</v>
      </c>
    </row>
    <row r="12">
      <c r="A12" t="inlineStr" s="18">
        <is>
          <t xml:space="preserve">Crustdata cost</t>
        </is>
      </c>
      <c r="C12" s="11">
        <f>SUM('Model inputs'!C13,'Model inputs'!C14)</f>
        <v>0</v>
      </c>
      <c r="D12" s="11">
        <f>SUM('Model inputs'!D13,'Model inputs'!D14)</f>
        <v>0</v>
      </c>
      <c r="E12" s="11">
        <f>SUM('Model inputs'!E13,'Model inputs'!E14)</f>
        <v>0</v>
      </c>
      <c r="F12" s="11">
        <f>SUM('Model inputs'!F13,'Model inputs'!F14)</f>
        <v>0</v>
      </c>
      <c r="G12" s="11">
        <f>SUM('Model inputs'!G13,'Model inputs'!G14)</f>
        <v>0</v>
      </c>
      <c r="H12" s="11">
        <f>SUM('Model inputs'!H13,'Model inputs'!H14)</f>
        <v>73.92</v>
      </c>
      <c r="I12" s="11">
        <f>SUM('Model inputs'!I13,'Model inputs'!I14)</f>
        <v>295.68</v>
      </c>
      <c r="J12" s="11">
        <f>SUM('Model inputs'!J13,'Model inputs'!J14)</f>
        <v>369.6</v>
      </c>
      <c r="K12" s="11">
        <f>SUM('Model inputs'!K13,'Model inputs'!K14)</f>
        <v>443.52000000000004</v>
      </c>
      <c r="L12" s="11">
        <f>SUM('Model inputs'!L13,'Model inputs'!L14)</f>
        <v>665.28</v>
      </c>
      <c r="M12" s="11">
        <f>SUM('Model inputs'!M13,'Model inputs'!M14)</f>
        <v>739.2</v>
      </c>
      <c r="N12" s="11">
        <f>SUM('Model inputs'!N13,'Model inputs'!N14)</f>
        <v>813.12</v>
      </c>
      <c r="O12" s="11">
        <f>SUM('Model inputs'!O13,'Model inputs'!O14)</f>
        <v>1034.88</v>
      </c>
      <c r="P12" s="11">
        <f>SUM('Model inputs'!P13,'Model inputs'!P14)</f>
        <v>1108.8</v>
      </c>
      <c r="Q12" s="11">
        <f>SUM('Model inputs'!Q13,'Model inputs'!Q14)</f>
        <v>1367.52</v>
      </c>
      <c r="R12" s="11">
        <f>SUM('Model inputs'!R13,'Model inputs'!R14)</f>
        <v>1441.44</v>
      </c>
      <c r="S12" s="11">
        <f>SUM('Model inputs'!S13,'Model inputs'!S14)</f>
        <v>1700.1599999999999</v>
      </c>
      <c r="T12" s="11">
        <f>SUM('Model inputs'!T13,'Model inputs'!T14)</f>
        <v>1774.08</v>
      </c>
      <c r="U12" s="11">
        <f>SUM('Model inputs'!U13,'Model inputs'!U14)</f>
        <v>2032.8</v>
      </c>
      <c r="V12" s="11">
        <f>SUM('Model inputs'!V13,'Model inputs'!V14)</f>
        <v>2328.4800000000005</v>
      </c>
      <c r="W12" s="11">
        <f>SUM('Model inputs'!W13,'Model inputs'!W14)</f>
        <v>2402.4</v>
      </c>
      <c r="X12" s="11">
        <f>SUM('Model inputs'!X13,'Model inputs'!X14)</f>
        <v>2661.12</v>
      </c>
      <c r="Y12" s="11">
        <f>SUM('Model inputs'!Y13,'Model inputs'!Y14)</f>
        <v>2735.04</v>
      </c>
      <c r="Z12" s="11">
        <f>SUM('Model inputs'!Z13,'Model inputs'!Z14)</f>
        <v>2993.76</v>
      </c>
      <c r="AA12" s="11">
        <f>SUM('Model inputs'!AA13,'Model inputs'!AA14)</f>
        <v>3067.6800000000003</v>
      </c>
      <c r="AB12" s="11">
        <f>SUM('Model inputs'!AB13,'Model inputs'!AB14)</f>
        <v>3326.4</v>
      </c>
    </row>
    <row r="13" outlineLevel="1">
      <c r="A13" t="inlineStr" s="20">
        <is>
          <t xml:space="preserve">Crustdata cost &gt; Starter</t>
        </is>
      </c>
      <c r="C13" s="12">
        <f>0</f>
        <v>0</v>
      </c>
      <c r="D13" s="12">
        <f>'Model inputs'!D8*(1-'Model inputs'!B10)*'Model inputs'!B15</f>
        <v>0</v>
      </c>
      <c r="E13" s="12">
        <f>'Model inputs'!E8*(1-'Model inputs'!B10)*'Model inputs'!B15</f>
        <v>0</v>
      </c>
      <c r="F13" s="12">
        <f>'Model inputs'!F8*(1-'Model inputs'!B10)*'Model inputs'!B15</f>
        <v>0</v>
      </c>
      <c r="G13" s="12">
        <f>'Model inputs'!G8*(1-'Model inputs'!B10)*'Model inputs'!B15</f>
        <v>0</v>
      </c>
      <c r="H13" s="12">
        <f>'Model inputs'!H8*(1-'Model inputs'!B10)*'Model inputs'!B15</f>
        <v>73.92</v>
      </c>
      <c r="I13" s="12">
        <f>'Model inputs'!I8*(1-'Model inputs'!B10)*'Model inputs'!B15</f>
        <v>110.88</v>
      </c>
      <c r="J13" s="12">
        <f>'Model inputs'!J8*(1-'Model inputs'!B10)*'Model inputs'!B15</f>
        <v>184.8</v>
      </c>
      <c r="K13" s="12">
        <f>'Model inputs'!K8*(1-'Model inputs'!B10)*'Model inputs'!B15</f>
        <v>258.72</v>
      </c>
      <c r="L13" s="12">
        <f>'Model inputs'!L8*(1-'Model inputs'!B10)*'Model inputs'!B15</f>
        <v>295.68</v>
      </c>
      <c r="M13" s="12">
        <f>'Model inputs'!M8*(1-'Model inputs'!B10)*'Model inputs'!B15</f>
        <v>369.6</v>
      </c>
      <c r="N13" s="12">
        <f>'Model inputs'!N8*(1-'Model inputs'!B10)*'Model inputs'!B15</f>
        <v>443.52</v>
      </c>
      <c r="O13" s="12">
        <f>'Model inputs'!O8*(1-'Model inputs'!B10)*'Model inputs'!B15</f>
        <v>480.48</v>
      </c>
      <c r="P13" s="12">
        <f>'Model inputs'!P8*(1-'Model inputs'!B10)*'Model inputs'!B15</f>
        <v>554.4</v>
      </c>
      <c r="Q13" s="12">
        <f>'Model inputs'!Q8*(1-'Model inputs'!B10)*'Model inputs'!B15</f>
        <v>628.32</v>
      </c>
      <c r="R13" s="12">
        <f>'Model inputs'!R8*(1-'Model inputs'!B10)*'Model inputs'!B15</f>
        <v>702.24</v>
      </c>
      <c r="S13" s="12">
        <f>'Model inputs'!S8*(1-'Model inputs'!B10)*'Model inputs'!B15</f>
        <v>776.16</v>
      </c>
      <c r="T13" s="12">
        <f>'Model inputs'!T8*(1-'Model inputs'!B10)*'Model inputs'!B15</f>
        <v>850.08</v>
      </c>
      <c r="U13" s="12">
        <f>'Model inputs'!U8*(1-'Model inputs'!B10)*'Model inputs'!B15</f>
        <v>924</v>
      </c>
      <c r="V13" s="12">
        <f>'Model inputs'!V8*(1-'Model inputs'!B10)*'Model inputs'!B15</f>
        <v>1034.88</v>
      </c>
      <c r="W13" s="12">
        <f>'Model inputs'!W8*(1-'Model inputs'!B10)*'Model inputs'!B15</f>
        <v>1108.8</v>
      </c>
      <c r="X13" s="12">
        <f>'Model inputs'!X8*(1-'Model inputs'!B10)*'Model inputs'!B15</f>
        <v>1182.72</v>
      </c>
      <c r="Y13" s="12">
        <f>'Model inputs'!Y8*(1-'Model inputs'!B10)*'Model inputs'!B15</f>
        <v>1256.64</v>
      </c>
      <c r="Z13" s="12">
        <f>'Model inputs'!Z8*(1-'Model inputs'!B10)*'Model inputs'!B15</f>
        <v>1330.56</v>
      </c>
      <c r="AA13" s="12">
        <f>'Model inputs'!AA8*(1-'Model inputs'!B10)*'Model inputs'!B15</f>
        <v>1404.48</v>
      </c>
      <c r="AB13" s="12">
        <f>'Model inputs'!AB8*(1-'Model inputs'!B10)*'Model inputs'!B15</f>
        <v>1478.4</v>
      </c>
    </row>
    <row r="14" outlineLevel="1">
      <c r="A14" t="inlineStr" s="20">
        <is>
          <t xml:space="preserve">Crustdata cost &gt; Team</t>
        </is>
      </c>
      <c r="C14" s="12">
        <f>0</f>
        <v>0</v>
      </c>
      <c r="D14" s="12">
        <f>'Model inputs'!D9*(1-'Model inputs'!B10)*'Model inputs'!B15</f>
        <v>0</v>
      </c>
      <c r="E14" s="12">
        <f>'Model inputs'!E9*(1-'Model inputs'!B10)*'Model inputs'!B15</f>
        <v>0</v>
      </c>
      <c r="F14" s="12">
        <f>'Model inputs'!F9*(1-'Model inputs'!B10)*'Model inputs'!B15</f>
        <v>0</v>
      </c>
      <c r="G14" s="12">
        <f>'Model inputs'!G9*(1-'Model inputs'!B10)*'Model inputs'!B15</f>
        <v>0</v>
      </c>
      <c r="H14" s="12">
        <f>'Model inputs'!H9*(1-'Model inputs'!B10)*'Model inputs'!B15</f>
        <v>0</v>
      </c>
      <c r="I14" s="12">
        <f>'Model inputs'!I9*(1-'Model inputs'!B10)*'Model inputs'!B15</f>
        <v>184.8</v>
      </c>
      <c r="J14" s="12">
        <f>'Model inputs'!J9*(1-'Model inputs'!B10)*'Model inputs'!B15</f>
        <v>184.8</v>
      </c>
      <c r="K14" s="12">
        <f>'Model inputs'!K9*(1-'Model inputs'!B10)*'Model inputs'!B15</f>
        <v>184.8</v>
      </c>
      <c r="L14" s="12">
        <f>'Model inputs'!L9*(1-'Model inputs'!B10)*'Model inputs'!B15</f>
        <v>369.6</v>
      </c>
      <c r="M14" s="12">
        <f>'Model inputs'!M9*(1-'Model inputs'!B10)*'Model inputs'!B15</f>
        <v>369.6</v>
      </c>
      <c r="N14" s="12">
        <f>'Model inputs'!N9*(1-'Model inputs'!B10)*'Model inputs'!B15</f>
        <v>369.6</v>
      </c>
      <c r="O14" s="12">
        <f>'Model inputs'!O9*(1-'Model inputs'!B10)*'Model inputs'!B15</f>
        <v>554.4</v>
      </c>
      <c r="P14" s="12">
        <f>'Model inputs'!P9*(1-'Model inputs'!B10)*'Model inputs'!B15</f>
        <v>554.4</v>
      </c>
      <c r="Q14" s="12">
        <f>'Model inputs'!Q9*(1-'Model inputs'!B10)*'Model inputs'!B15</f>
        <v>739.2</v>
      </c>
      <c r="R14" s="12">
        <f>'Model inputs'!R9*(1-'Model inputs'!B10)*'Model inputs'!B15</f>
        <v>739.2</v>
      </c>
      <c r="S14" s="12">
        <f>'Model inputs'!S9*(1-'Model inputs'!B10)*'Model inputs'!B15</f>
        <v>924</v>
      </c>
      <c r="T14" s="12">
        <f>'Model inputs'!T9*(1-'Model inputs'!B10)*'Model inputs'!B15</f>
        <v>924</v>
      </c>
      <c r="U14" s="12">
        <f>'Model inputs'!U9*(1-'Model inputs'!B10)*'Model inputs'!B15</f>
        <v>1108.8</v>
      </c>
      <c r="V14" s="12">
        <f>'Model inputs'!V9*(1-'Model inputs'!B10)*'Model inputs'!B15</f>
        <v>1293.6000000000001</v>
      </c>
      <c r="W14" s="12">
        <f>'Model inputs'!W9*(1-'Model inputs'!B10)*'Model inputs'!B15</f>
        <v>1293.6000000000001</v>
      </c>
      <c r="X14" s="12">
        <f>'Model inputs'!X9*(1-'Model inputs'!B10)*'Model inputs'!B15</f>
        <v>1478.4</v>
      </c>
      <c r="Y14" s="12">
        <f>'Model inputs'!Y9*(1-'Model inputs'!B10)*'Model inputs'!B15</f>
        <v>1478.4</v>
      </c>
      <c r="Z14" s="12">
        <f>'Model inputs'!Z9*(1-'Model inputs'!B10)*'Model inputs'!B15</f>
        <v>1663.2</v>
      </c>
      <c r="AA14" s="12">
        <f>'Model inputs'!AA9*(1-'Model inputs'!B10)*'Model inputs'!B15</f>
        <v>1663.2</v>
      </c>
      <c r="AB14" s="12">
        <f>'Model inputs'!AB9*(1-'Model inputs'!B10)*'Model inputs'!B15</f>
        <v>1848</v>
      </c>
    </row>
    <row r="15">
      <c r="A15" t="inlineStr" s="18">
        <is>
          <t xml:space="preserve">Crustdata cost per uncached run</t>
        </is>
      </c>
      <c r="B15" s="14">
        <f>'Model inputs'!B60*'Model inputs'!B61+'Model inputs'!B63*'Model inputs'!B62/1000</f>
        <v>9.24</v>
      </c>
    </row>
    <row r="16">
      <c r="A16" t="inlineStr" s="18">
        <is>
          <t xml:space="preserve">Customers</t>
        </is>
      </c>
      <c r="C16" s="7">
        <f>SUM('Model inputs'!C17,'Model inputs'!C18)</f>
        <v>0</v>
      </c>
      <c r="D16" s="7">
        <f>SUM('Model inputs'!D17,'Model inputs'!D18)</f>
        <v>0</v>
      </c>
      <c r="E16" s="7">
        <f>SUM('Model inputs'!E17,'Model inputs'!E18)</f>
        <v>0</v>
      </c>
      <c r="F16" s="7">
        <f>SUM('Model inputs'!F17,'Model inputs'!F18)</f>
        <v>0</v>
      </c>
      <c r="G16" s="7">
        <f>SUM('Model inputs'!G17,'Model inputs'!G18)</f>
        <v>0</v>
      </c>
      <c r="H16" s="7">
        <f>SUM('Model inputs'!H17,'Model inputs'!H18)</f>
        <v>2</v>
      </c>
      <c r="I16" s="7">
        <f>SUM('Model inputs'!I17,'Model inputs'!I18)</f>
        <v>4</v>
      </c>
      <c r="J16" s="7">
        <f>SUM('Model inputs'!J17,'Model inputs'!J18)</f>
        <v>6</v>
      </c>
      <c r="K16" s="7">
        <f>SUM('Model inputs'!K17,'Model inputs'!K18)</f>
        <v>8</v>
      </c>
      <c r="L16" s="7">
        <f>SUM('Model inputs'!L17,'Model inputs'!L18)</f>
        <v>10</v>
      </c>
      <c r="M16" s="7">
        <f>SUM('Model inputs'!M17,'Model inputs'!M18)</f>
        <v>12</v>
      </c>
      <c r="N16" s="7">
        <f>SUM('Model inputs'!N17,'Model inputs'!N18)</f>
        <v>14</v>
      </c>
      <c r="O16" s="7">
        <f>SUM('Model inputs'!O17,'Model inputs'!O18)</f>
        <v>16</v>
      </c>
      <c r="P16" s="7">
        <f>SUM('Model inputs'!P17,'Model inputs'!P18)</f>
        <v>18</v>
      </c>
      <c r="Q16" s="7">
        <f>SUM('Model inputs'!Q17,'Model inputs'!Q18)</f>
        <v>21</v>
      </c>
      <c r="R16" s="7">
        <f>SUM('Model inputs'!R17,'Model inputs'!R18)</f>
        <v>23</v>
      </c>
      <c r="S16" s="7">
        <f>SUM('Model inputs'!S17,'Model inputs'!S18)</f>
        <v>26</v>
      </c>
      <c r="T16" s="7">
        <f>SUM('Model inputs'!T17,'Model inputs'!T18)</f>
        <v>28</v>
      </c>
      <c r="U16" s="7">
        <f>SUM('Model inputs'!U17,'Model inputs'!U18)</f>
        <v>31</v>
      </c>
      <c r="V16" s="7">
        <f>SUM('Model inputs'!V17,'Model inputs'!V18)</f>
        <v>35</v>
      </c>
      <c r="W16" s="7">
        <f>SUM('Model inputs'!W17,'Model inputs'!W18)</f>
        <v>37</v>
      </c>
      <c r="X16" s="7">
        <f>SUM('Model inputs'!X17,'Model inputs'!X18)</f>
        <v>40</v>
      </c>
      <c r="Y16" s="7">
        <f>SUM('Model inputs'!Y17,'Model inputs'!Y18)</f>
        <v>42</v>
      </c>
      <c r="Z16" s="7">
        <f>SUM('Model inputs'!Z17,'Model inputs'!Z18)</f>
        <v>45</v>
      </c>
      <c r="AA16" s="7">
        <f>SUM('Model inputs'!AA17,'Model inputs'!AA18)</f>
        <v>47</v>
      </c>
      <c r="AB16" s="7">
        <f>SUM('Model inputs'!AB17,'Model inputs'!AB18)</f>
        <v>50</v>
      </c>
    </row>
    <row r="17" outlineLevel="1">
      <c r="A17" t="inlineStr" s="20">
        <is>
          <t xml:space="preserve">Customers &gt; Starter</t>
        </is>
      </c>
      <c r="C17" s="9">
        <f>0</f>
        <v>0</v>
      </c>
      <c r="D17" s="9">
        <f>IF(IF(IF(ISERROR('Model inputs'!D32&lt;1),'Model inputs'!D32&lt;1,IF('Model inputs'!D32="","",'Model inputs'!D32&lt;1))="",FALSE,IF(ISERROR('Model inputs'!D32&lt;1),'Model inputs'!D32&lt;1,IF('Model inputs'!D32="","",'Model inputs'!D32&lt;1))),0,ROUND(IF(IF(IF(ISERROR('Model inputs'!D32&lt;=3),'Model inputs'!D32&lt;=3,IF('Model inputs'!D32="","",'Model inputs'!D32&lt;=3))="",FALSE,IF(ISERROR('Model inputs'!D32&lt;=3),'Model inputs'!D32&lt;=3,IF('Model inputs'!D32="","",'Model inputs'!D32&lt;=3))),IF('Model inputs'!B52="","",'Model inputs'!B52),IF(IF(IF(ISERROR('Model inputs'!D32&lt;=6),'Model inputs'!D32&lt;=6,IF('Model inputs'!D32="","",'Model inputs'!D32&lt;=6))="",FALSE,IF(ISERROR('Model inputs'!D32&lt;=6),'Model inputs'!D32&lt;=6,IF('Model inputs'!D32="","",'Model inputs'!D32&lt;=6))),'Model inputs'!B52+('Model inputs'!B55-'Model inputs'!B52)*('Model inputs'!D32-3)/3,IF(IF(IF(ISERROR('Model inputs'!D32&lt;=12),'Model inputs'!D32&lt;=12,IF('Model inputs'!D32="","",'Model inputs'!D32&lt;=12))="",FALSE,IF(ISERROR('Model inputs'!D32&lt;=12),'Model inputs'!D32&lt;=12,IF('Model inputs'!D32="","",'Model inputs'!D32&lt;=12))),'Model inputs'!B55+('Model inputs'!B46-'Model inputs'!B55)*('Model inputs'!D32-6)/6,'Model inputs'!B46+('Model inputs'!B49-'Model inputs'!B46)*('Model inputs'!D32-12)/12))),0))</f>
        <v>0</v>
      </c>
      <c r="E17" s="9">
        <f>IF(IF(IF(ISERROR('Model inputs'!E32&lt;1),'Model inputs'!E32&lt;1,IF('Model inputs'!E32="","",'Model inputs'!E32&lt;1))="",FALSE,IF(ISERROR('Model inputs'!E32&lt;1),'Model inputs'!E32&lt;1,IF('Model inputs'!E32="","",'Model inputs'!E32&lt;1))),0,ROUND(IF(IF(IF(ISERROR('Model inputs'!E32&lt;=3),'Model inputs'!E32&lt;=3,IF('Model inputs'!E32="","",'Model inputs'!E32&lt;=3))="",FALSE,IF(ISERROR('Model inputs'!E32&lt;=3),'Model inputs'!E32&lt;=3,IF('Model inputs'!E32="","",'Model inputs'!E32&lt;=3))),IF('Model inputs'!B52="","",'Model inputs'!B52),IF(IF(IF(ISERROR('Model inputs'!E32&lt;=6),'Model inputs'!E32&lt;=6,IF('Model inputs'!E32="","",'Model inputs'!E32&lt;=6))="",FALSE,IF(ISERROR('Model inputs'!E32&lt;=6),'Model inputs'!E32&lt;=6,IF('Model inputs'!E32="","",'Model inputs'!E32&lt;=6))),'Model inputs'!B52+('Model inputs'!B55-'Model inputs'!B52)*('Model inputs'!E32-3)/3,IF(IF(IF(ISERROR('Model inputs'!E32&lt;=12),'Model inputs'!E32&lt;=12,IF('Model inputs'!E32="","",'Model inputs'!E32&lt;=12))="",FALSE,IF(ISERROR('Model inputs'!E32&lt;=12),'Model inputs'!E32&lt;=12,IF('Model inputs'!E32="","",'Model inputs'!E32&lt;=12))),'Model inputs'!B55+('Model inputs'!B46-'Model inputs'!B55)*('Model inputs'!E32-6)/6,'Model inputs'!B46+('Model inputs'!B49-'Model inputs'!B46)*('Model inputs'!E32-12)/12))),0))</f>
        <v>0</v>
      </c>
      <c r="F17" s="9">
        <f>IF(IF(IF(ISERROR('Model inputs'!F32&lt;1),'Model inputs'!F32&lt;1,IF('Model inputs'!F32="","",'Model inputs'!F32&lt;1))="",FALSE,IF(ISERROR('Model inputs'!F32&lt;1),'Model inputs'!F32&lt;1,IF('Model inputs'!F32="","",'Model inputs'!F32&lt;1))),0,ROUND(IF(IF(IF(ISERROR('Model inputs'!F32&lt;=3),'Model inputs'!F32&lt;=3,IF('Model inputs'!F32="","",'Model inputs'!F32&lt;=3))="",FALSE,IF(ISERROR('Model inputs'!F32&lt;=3),'Model inputs'!F32&lt;=3,IF('Model inputs'!F32="","",'Model inputs'!F32&lt;=3))),IF('Model inputs'!B52="","",'Model inputs'!B52),IF(IF(IF(ISERROR('Model inputs'!F32&lt;=6),'Model inputs'!F32&lt;=6,IF('Model inputs'!F32="","",'Model inputs'!F32&lt;=6))="",FALSE,IF(ISERROR('Model inputs'!F32&lt;=6),'Model inputs'!F32&lt;=6,IF('Model inputs'!F32="","",'Model inputs'!F32&lt;=6))),'Model inputs'!B52+('Model inputs'!B55-'Model inputs'!B52)*('Model inputs'!F32-3)/3,IF(IF(IF(ISERROR('Model inputs'!F32&lt;=12),'Model inputs'!F32&lt;=12,IF('Model inputs'!F32="","",'Model inputs'!F32&lt;=12))="",FALSE,IF(ISERROR('Model inputs'!F32&lt;=12),'Model inputs'!F32&lt;=12,IF('Model inputs'!F32="","",'Model inputs'!F32&lt;=12))),'Model inputs'!B55+('Model inputs'!B46-'Model inputs'!B55)*('Model inputs'!F32-6)/6,'Model inputs'!B46+('Model inputs'!B49-'Model inputs'!B46)*('Model inputs'!F32-12)/12))),0))</f>
        <v>0</v>
      </c>
      <c r="G17" s="9">
        <f>IF(IF(IF(ISERROR('Model inputs'!G32&lt;1),'Model inputs'!G32&lt;1,IF('Model inputs'!G32="","",'Model inputs'!G32&lt;1))="",FALSE,IF(ISERROR('Model inputs'!G32&lt;1),'Model inputs'!G32&lt;1,IF('Model inputs'!G32="","",'Model inputs'!G32&lt;1))),0,ROUND(IF(IF(IF(ISERROR('Model inputs'!G32&lt;=3),'Model inputs'!G32&lt;=3,IF('Model inputs'!G32="","",'Model inputs'!G32&lt;=3))="",FALSE,IF(ISERROR('Model inputs'!G32&lt;=3),'Model inputs'!G32&lt;=3,IF('Model inputs'!G32="","",'Model inputs'!G32&lt;=3))),IF('Model inputs'!B52="","",'Model inputs'!B52),IF(IF(IF(ISERROR('Model inputs'!G32&lt;=6),'Model inputs'!G32&lt;=6,IF('Model inputs'!G32="","",'Model inputs'!G32&lt;=6))="",FALSE,IF(ISERROR('Model inputs'!G32&lt;=6),'Model inputs'!G32&lt;=6,IF('Model inputs'!G32="","",'Model inputs'!G32&lt;=6))),'Model inputs'!B52+('Model inputs'!B55-'Model inputs'!B52)*('Model inputs'!G32-3)/3,IF(IF(IF(ISERROR('Model inputs'!G32&lt;=12),'Model inputs'!G32&lt;=12,IF('Model inputs'!G32="","",'Model inputs'!G32&lt;=12))="",FALSE,IF(ISERROR('Model inputs'!G32&lt;=12),'Model inputs'!G32&lt;=12,IF('Model inputs'!G32="","",'Model inputs'!G32&lt;=12))),'Model inputs'!B55+('Model inputs'!B46-'Model inputs'!B55)*('Model inputs'!G32-6)/6,'Model inputs'!B46+('Model inputs'!B49-'Model inputs'!B46)*('Model inputs'!G32-12)/12))),0))</f>
        <v>0</v>
      </c>
      <c r="H17" s="9">
        <f>IF(IF(IF(ISERROR('Model inputs'!H32&lt;1),'Model inputs'!H32&lt;1,IF('Model inputs'!H32="","",'Model inputs'!H32&lt;1))="",FALSE,IF(ISERROR('Model inputs'!H32&lt;1),'Model inputs'!H32&lt;1,IF('Model inputs'!H32="","",'Model inputs'!H32&lt;1))),0,ROUND(IF(IF(IF(ISERROR('Model inputs'!H32&lt;=3),'Model inputs'!H32&lt;=3,IF('Model inputs'!H32="","",'Model inputs'!H32&lt;=3))="",FALSE,IF(ISERROR('Model inputs'!H32&lt;=3),'Model inputs'!H32&lt;=3,IF('Model inputs'!H32="","",'Model inputs'!H32&lt;=3))),IF('Model inputs'!B52="","",'Model inputs'!B52),IF(IF(IF(ISERROR('Model inputs'!H32&lt;=6),'Model inputs'!H32&lt;=6,IF('Model inputs'!H32="","",'Model inputs'!H32&lt;=6))="",FALSE,IF(ISERROR('Model inputs'!H32&lt;=6),'Model inputs'!H32&lt;=6,IF('Model inputs'!H32="","",'Model inputs'!H32&lt;=6))),'Model inputs'!B52+('Model inputs'!B55-'Model inputs'!B52)*('Model inputs'!H32-3)/3,IF(IF(IF(ISERROR('Model inputs'!H32&lt;=12),'Model inputs'!H32&lt;=12,IF('Model inputs'!H32="","",'Model inputs'!H32&lt;=12))="",FALSE,IF(ISERROR('Model inputs'!H32&lt;=12),'Model inputs'!H32&lt;=12,IF('Model inputs'!H32="","",'Model inputs'!H32&lt;=12))),'Model inputs'!B55+('Model inputs'!B46-'Model inputs'!B55)*('Model inputs'!H32-6)/6,'Model inputs'!B46+('Model inputs'!B49-'Model inputs'!B46)*('Model inputs'!H32-12)/12))),0))</f>
        <v>2</v>
      </c>
      <c r="I17" s="9">
        <f>IF(IF(IF(ISERROR('Model inputs'!I32&lt;1),'Model inputs'!I32&lt;1,IF('Model inputs'!I32="","",'Model inputs'!I32&lt;1))="",FALSE,IF(ISERROR('Model inputs'!I32&lt;1),'Model inputs'!I32&lt;1,IF('Model inputs'!I32="","",'Model inputs'!I32&lt;1))),0,ROUND(IF(IF(IF(ISERROR('Model inputs'!I32&lt;=3),'Model inputs'!I32&lt;=3,IF('Model inputs'!I32="","",'Model inputs'!I32&lt;=3))="",FALSE,IF(ISERROR('Model inputs'!I32&lt;=3),'Model inputs'!I32&lt;=3,IF('Model inputs'!I32="","",'Model inputs'!I32&lt;=3))),IF('Model inputs'!B52="","",'Model inputs'!B52),IF(IF(IF(ISERROR('Model inputs'!I32&lt;=6),'Model inputs'!I32&lt;=6,IF('Model inputs'!I32="","",'Model inputs'!I32&lt;=6))="",FALSE,IF(ISERROR('Model inputs'!I32&lt;=6),'Model inputs'!I32&lt;=6,IF('Model inputs'!I32="","",'Model inputs'!I32&lt;=6))),'Model inputs'!B52+('Model inputs'!B55-'Model inputs'!B52)*('Model inputs'!I32-3)/3,IF(IF(IF(ISERROR('Model inputs'!I32&lt;=12),'Model inputs'!I32&lt;=12,IF('Model inputs'!I32="","",'Model inputs'!I32&lt;=12))="",FALSE,IF(ISERROR('Model inputs'!I32&lt;=12),'Model inputs'!I32&lt;=12,IF('Model inputs'!I32="","",'Model inputs'!I32&lt;=12))),'Model inputs'!B55+('Model inputs'!B46-'Model inputs'!B55)*('Model inputs'!I32-6)/6,'Model inputs'!B46+('Model inputs'!B49-'Model inputs'!B46)*('Model inputs'!I32-12)/12))),0))</f>
        <v>3</v>
      </c>
      <c r="J17" s="9">
        <f>IF(IF(IF(ISERROR('Model inputs'!J32&lt;1),'Model inputs'!J32&lt;1,IF('Model inputs'!J32="","",'Model inputs'!J32&lt;1))="",FALSE,IF(ISERROR('Model inputs'!J32&lt;1),'Model inputs'!J32&lt;1,IF('Model inputs'!J32="","",'Model inputs'!J32&lt;1))),0,ROUND(IF(IF(IF(ISERROR('Model inputs'!J32&lt;=3),'Model inputs'!J32&lt;=3,IF('Model inputs'!J32="","",'Model inputs'!J32&lt;=3))="",FALSE,IF(ISERROR('Model inputs'!J32&lt;=3),'Model inputs'!J32&lt;=3,IF('Model inputs'!J32="","",'Model inputs'!J32&lt;=3))),IF('Model inputs'!B52="","",'Model inputs'!B52),IF(IF(IF(ISERROR('Model inputs'!J32&lt;=6),'Model inputs'!J32&lt;=6,IF('Model inputs'!J32="","",'Model inputs'!J32&lt;=6))="",FALSE,IF(ISERROR('Model inputs'!J32&lt;=6),'Model inputs'!J32&lt;=6,IF('Model inputs'!J32="","",'Model inputs'!J32&lt;=6))),'Model inputs'!B52+('Model inputs'!B55-'Model inputs'!B52)*('Model inputs'!J32-3)/3,IF(IF(IF(ISERROR('Model inputs'!J32&lt;=12),'Model inputs'!J32&lt;=12,IF('Model inputs'!J32="","",'Model inputs'!J32&lt;=12))="",FALSE,IF(ISERROR('Model inputs'!J32&lt;=12),'Model inputs'!J32&lt;=12,IF('Model inputs'!J32="","",'Model inputs'!J32&lt;=12))),'Model inputs'!B55+('Model inputs'!B46-'Model inputs'!B55)*('Model inputs'!J32-6)/6,'Model inputs'!B46+('Model inputs'!B49-'Model inputs'!B46)*('Model inputs'!J32-12)/12))),0))</f>
        <v>5</v>
      </c>
      <c r="K17" s="9">
        <f>IF(IF(IF(ISERROR('Model inputs'!K32&lt;1),'Model inputs'!K32&lt;1,IF('Model inputs'!K32="","",'Model inputs'!K32&lt;1))="",FALSE,IF(ISERROR('Model inputs'!K32&lt;1),'Model inputs'!K32&lt;1,IF('Model inputs'!K32="","",'Model inputs'!K32&lt;1))),0,ROUND(IF(IF(IF(ISERROR('Model inputs'!K32&lt;=3),'Model inputs'!K32&lt;=3,IF('Model inputs'!K32="","",'Model inputs'!K32&lt;=3))="",FALSE,IF(ISERROR('Model inputs'!K32&lt;=3),'Model inputs'!K32&lt;=3,IF('Model inputs'!K32="","",'Model inputs'!K32&lt;=3))),IF('Model inputs'!B52="","",'Model inputs'!B52),IF(IF(IF(ISERROR('Model inputs'!K32&lt;=6),'Model inputs'!K32&lt;=6,IF('Model inputs'!K32="","",'Model inputs'!K32&lt;=6))="",FALSE,IF(ISERROR('Model inputs'!K32&lt;=6),'Model inputs'!K32&lt;=6,IF('Model inputs'!K32="","",'Model inputs'!K32&lt;=6))),'Model inputs'!B52+('Model inputs'!B55-'Model inputs'!B52)*('Model inputs'!K32-3)/3,IF(IF(IF(ISERROR('Model inputs'!K32&lt;=12),'Model inputs'!K32&lt;=12,IF('Model inputs'!K32="","",'Model inputs'!K32&lt;=12))="",FALSE,IF(ISERROR('Model inputs'!K32&lt;=12),'Model inputs'!K32&lt;=12,IF('Model inputs'!K32="","",'Model inputs'!K32&lt;=12))),'Model inputs'!B55+('Model inputs'!B46-'Model inputs'!B55)*('Model inputs'!K32-6)/6,'Model inputs'!B46+('Model inputs'!B49-'Model inputs'!B46)*('Model inputs'!K32-12)/12))),0))</f>
        <v>7</v>
      </c>
      <c r="L17" s="9">
        <f>IF(IF(IF(ISERROR('Model inputs'!L32&lt;1),'Model inputs'!L32&lt;1,IF('Model inputs'!L32="","",'Model inputs'!L32&lt;1))="",FALSE,IF(ISERROR('Model inputs'!L32&lt;1),'Model inputs'!L32&lt;1,IF('Model inputs'!L32="","",'Model inputs'!L32&lt;1))),0,ROUND(IF(IF(IF(ISERROR('Model inputs'!L32&lt;=3),'Model inputs'!L32&lt;=3,IF('Model inputs'!L32="","",'Model inputs'!L32&lt;=3))="",FALSE,IF(ISERROR('Model inputs'!L32&lt;=3),'Model inputs'!L32&lt;=3,IF('Model inputs'!L32="","",'Model inputs'!L32&lt;=3))),IF('Model inputs'!B52="","",'Model inputs'!B52),IF(IF(IF(ISERROR('Model inputs'!L32&lt;=6),'Model inputs'!L32&lt;=6,IF('Model inputs'!L32="","",'Model inputs'!L32&lt;=6))="",FALSE,IF(ISERROR('Model inputs'!L32&lt;=6),'Model inputs'!L32&lt;=6,IF('Model inputs'!L32="","",'Model inputs'!L32&lt;=6))),'Model inputs'!B52+('Model inputs'!B55-'Model inputs'!B52)*('Model inputs'!L32-3)/3,IF(IF(IF(ISERROR('Model inputs'!L32&lt;=12),'Model inputs'!L32&lt;=12,IF('Model inputs'!L32="","",'Model inputs'!L32&lt;=12))="",FALSE,IF(ISERROR('Model inputs'!L32&lt;=12),'Model inputs'!L32&lt;=12,IF('Model inputs'!L32="","",'Model inputs'!L32&lt;=12))),'Model inputs'!B55+('Model inputs'!B46-'Model inputs'!B55)*('Model inputs'!L32-6)/6,'Model inputs'!B46+('Model inputs'!B49-'Model inputs'!B46)*('Model inputs'!L32-12)/12))),0))</f>
        <v>8</v>
      </c>
      <c r="M17" s="9">
        <f>IF(IF(IF(ISERROR('Model inputs'!M32&lt;1),'Model inputs'!M32&lt;1,IF('Model inputs'!M32="","",'Model inputs'!M32&lt;1))="",FALSE,IF(ISERROR('Model inputs'!M32&lt;1),'Model inputs'!M32&lt;1,IF('Model inputs'!M32="","",'Model inputs'!M32&lt;1))),0,ROUND(IF(IF(IF(ISERROR('Model inputs'!M32&lt;=3),'Model inputs'!M32&lt;=3,IF('Model inputs'!M32="","",'Model inputs'!M32&lt;=3))="",FALSE,IF(ISERROR('Model inputs'!M32&lt;=3),'Model inputs'!M32&lt;=3,IF('Model inputs'!M32="","",'Model inputs'!M32&lt;=3))),IF('Model inputs'!B52="","",'Model inputs'!B52),IF(IF(IF(ISERROR('Model inputs'!M32&lt;=6),'Model inputs'!M32&lt;=6,IF('Model inputs'!M32="","",'Model inputs'!M32&lt;=6))="",FALSE,IF(ISERROR('Model inputs'!M32&lt;=6),'Model inputs'!M32&lt;=6,IF('Model inputs'!M32="","",'Model inputs'!M32&lt;=6))),'Model inputs'!B52+('Model inputs'!B55-'Model inputs'!B52)*('Model inputs'!M32-3)/3,IF(IF(IF(ISERROR('Model inputs'!M32&lt;=12),'Model inputs'!M32&lt;=12,IF('Model inputs'!M32="","",'Model inputs'!M32&lt;=12))="",FALSE,IF(ISERROR('Model inputs'!M32&lt;=12),'Model inputs'!M32&lt;=12,IF('Model inputs'!M32="","",'Model inputs'!M32&lt;=12))),'Model inputs'!B55+('Model inputs'!B46-'Model inputs'!B55)*('Model inputs'!M32-6)/6,'Model inputs'!B46+('Model inputs'!B49-'Model inputs'!B46)*('Model inputs'!M32-12)/12))),0))</f>
        <v>10</v>
      </c>
      <c r="N17" s="9">
        <f>IF(IF(IF(ISERROR('Model inputs'!N32&lt;1),'Model inputs'!N32&lt;1,IF('Model inputs'!N32="","",'Model inputs'!N32&lt;1))="",FALSE,IF(ISERROR('Model inputs'!N32&lt;1),'Model inputs'!N32&lt;1,IF('Model inputs'!N32="","",'Model inputs'!N32&lt;1))),0,ROUND(IF(IF(IF(ISERROR('Model inputs'!N32&lt;=3),'Model inputs'!N32&lt;=3,IF('Model inputs'!N32="","",'Model inputs'!N32&lt;=3))="",FALSE,IF(ISERROR('Model inputs'!N32&lt;=3),'Model inputs'!N32&lt;=3,IF('Model inputs'!N32="","",'Model inputs'!N32&lt;=3))),IF('Model inputs'!B52="","",'Model inputs'!B52),IF(IF(IF(ISERROR('Model inputs'!N32&lt;=6),'Model inputs'!N32&lt;=6,IF('Model inputs'!N32="","",'Model inputs'!N32&lt;=6))="",FALSE,IF(ISERROR('Model inputs'!N32&lt;=6),'Model inputs'!N32&lt;=6,IF('Model inputs'!N32="","",'Model inputs'!N32&lt;=6))),'Model inputs'!B52+('Model inputs'!B55-'Model inputs'!B52)*('Model inputs'!N32-3)/3,IF(IF(IF(ISERROR('Model inputs'!N32&lt;=12),'Model inputs'!N32&lt;=12,IF('Model inputs'!N32="","",'Model inputs'!N32&lt;=12))="",FALSE,IF(ISERROR('Model inputs'!N32&lt;=12),'Model inputs'!N32&lt;=12,IF('Model inputs'!N32="","",'Model inputs'!N32&lt;=12))),'Model inputs'!B55+('Model inputs'!B46-'Model inputs'!B55)*('Model inputs'!N32-6)/6,'Model inputs'!B46+('Model inputs'!B49-'Model inputs'!B46)*('Model inputs'!N32-12)/12))),0))</f>
        <v>12</v>
      </c>
      <c r="O17" s="9">
        <f>IF(IF(IF(ISERROR('Model inputs'!O32&lt;1),'Model inputs'!O32&lt;1,IF('Model inputs'!O32="","",'Model inputs'!O32&lt;1))="",FALSE,IF(ISERROR('Model inputs'!O32&lt;1),'Model inputs'!O32&lt;1,IF('Model inputs'!O32="","",'Model inputs'!O32&lt;1))),0,ROUND(IF(IF(IF(ISERROR('Model inputs'!O32&lt;=3),'Model inputs'!O32&lt;=3,IF('Model inputs'!O32="","",'Model inputs'!O32&lt;=3))="",FALSE,IF(ISERROR('Model inputs'!O32&lt;=3),'Model inputs'!O32&lt;=3,IF('Model inputs'!O32="","",'Model inputs'!O32&lt;=3))),IF('Model inputs'!B52="","",'Model inputs'!B52),IF(IF(IF(ISERROR('Model inputs'!O32&lt;=6),'Model inputs'!O32&lt;=6,IF('Model inputs'!O32="","",'Model inputs'!O32&lt;=6))="",FALSE,IF(ISERROR('Model inputs'!O32&lt;=6),'Model inputs'!O32&lt;=6,IF('Model inputs'!O32="","",'Model inputs'!O32&lt;=6))),'Model inputs'!B52+('Model inputs'!B55-'Model inputs'!B52)*('Model inputs'!O32-3)/3,IF(IF(IF(ISERROR('Model inputs'!O32&lt;=12),'Model inputs'!O32&lt;=12,IF('Model inputs'!O32="","",'Model inputs'!O32&lt;=12))="",FALSE,IF(ISERROR('Model inputs'!O32&lt;=12),'Model inputs'!O32&lt;=12,IF('Model inputs'!O32="","",'Model inputs'!O32&lt;=12))),'Model inputs'!B55+('Model inputs'!B46-'Model inputs'!B55)*('Model inputs'!O32-6)/6,'Model inputs'!B46+('Model inputs'!B49-'Model inputs'!B46)*('Model inputs'!O32-12)/12))),0))</f>
        <v>13</v>
      </c>
      <c r="P17" s="9">
        <f>IF(IF(IF(ISERROR('Model inputs'!P32&lt;1),'Model inputs'!P32&lt;1,IF('Model inputs'!P32="","",'Model inputs'!P32&lt;1))="",FALSE,IF(ISERROR('Model inputs'!P32&lt;1),'Model inputs'!P32&lt;1,IF('Model inputs'!P32="","",'Model inputs'!P32&lt;1))),0,ROUND(IF(IF(IF(ISERROR('Model inputs'!P32&lt;=3),'Model inputs'!P32&lt;=3,IF('Model inputs'!P32="","",'Model inputs'!P32&lt;=3))="",FALSE,IF(ISERROR('Model inputs'!P32&lt;=3),'Model inputs'!P32&lt;=3,IF('Model inputs'!P32="","",'Model inputs'!P32&lt;=3))),IF('Model inputs'!B52="","",'Model inputs'!B52),IF(IF(IF(ISERROR('Model inputs'!P32&lt;=6),'Model inputs'!P32&lt;=6,IF('Model inputs'!P32="","",'Model inputs'!P32&lt;=6))="",FALSE,IF(ISERROR('Model inputs'!P32&lt;=6),'Model inputs'!P32&lt;=6,IF('Model inputs'!P32="","",'Model inputs'!P32&lt;=6))),'Model inputs'!B52+('Model inputs'!B55-'Model inputs'!B52)*('Model inputs'!P32-3)/3,IF(IF(IF(ISERROR('Model inputs'!P32&lt;=12),'Model inputs'!P32&lt;=12,IF('Model inputs'!P32="","",'Model inputs'!P32&lt;=12))="",FALSE,IF(ISERROR('Model inputs'!P32&lt;=12),'Model inputs'!P32&lt;=12,IF('Model inputs'!P32="","",'Model inputs'!P32&lt;=12))),'Model inputs'!B55+('Model inputs'!B46-'Model inputs'!B55)*('Model inputs'!P32-6)/6,'Model inputs'!B46+('Model inputs'!B49-'Model inputs'!B46)*('Model inputs'!P32-12)/12))),0))</f>
        <v>15</v>
      </c>
      <c r="Q17" s="9">
        <f>IF(IF(IF(ISERROR('Model inputs'!Q32&lt;1),'Model inputs'!Q32&lt;1,IF('Model inputs'!Q32="","",'Model inputs'!Q32&lt;1))="",FALSE,IF(ISERROR('Model inputs'!Q32&lt;1),'Model inputs'!Q32&lt;1,IF('Model inputs'!Q32="","",'Model inputs'!Q32&lt;1))),0,ROUND(IF(IF(IF(ISERROR('Model inputs'!Q32&lt;=3),'Model inputs'!Q32&lt;=3,IF('Model inputs'!Q32="","",'Model inputs'!Q32&lt;=3))="",FALSE,IF(ISERROR('Model inputs'!Q32&lt;=3),'Model inputs'!Q32&lt;=3,IF('Model inputs'!Q32="","",'Model inputs'!Q32&lt;=3))),IF('Model inputs'!B52="","",'Model inputs'!B52),IF(IF(IF(ISERROR('Model inputs'!Q32&lt;=6),'Model inputs'!Q32&lt;=6,IF('Model inputs'!Q32="","",'Model inputs'!Q32&lt;=6))="",FALSE,IF(ISERROR('Model inputs'!Q32&lt;=6),'Model inputs'!Q32&lt;=6,IF('Model inputs'!Q32="","",'Model inputs'!Q32&lt;=6))),'Model inputs'!B52+('Model inputs'!B55-'Model inputs'!B52)*('Model inputs'!Q32-3)/3,IF(IF(IF(ISERROR('Model inputs'!Q32&lt;=12),'Model inputs'!Q32&lt;=12,IF('Model inputs'!Q32="","",'Model inputs'!Q32&lt;=12))="",FALSE,IF(ISERROR('Model inputs'!Q32&lt;=12),'Model inputs'!Q32&lt;=12,IF('Model inputs'!Q32="","",'Model inputs'!Q32&lt;=12))),'Model inputs'!B55+('Model inputs'!B46-'Model inputs'!B55)*('Model inputs'!Q32-6)/6,'Model inputs'!B46+('Model inputs'!B49-'Model inputs'!B46)*('Model inputs'!Q32-12)/12))),0))</f>
        <v>17</v>
      </c>
      <c r="R17" s="9">
        <f>IF(IF(IF(ISERROR('Model inputs'!R32&lt;1),'Model inputs'!R32&lt;1,IF('Model inputs'!R32="","",'Model inputs'!R32&lt;1))="",FALSE,IF(ISERROR('Model inputs'!R32&lt;1),'Model inputs'!R32&lt;1,IF('Model inputs'!R32="","",'Model inputs'!R32&lt;1))),0,ROUND(IF(IF(IF(ISERROR('Model inputs'!R32&lt;=3),'Model inputs'!R32&lt;=3,IF('Model inputs'!R32="","",'Model inputs'!R32&lt;=3))="",FALSE,IF(ISERROR('Model inputs'!R32&lt;=3),'Model inputs'!R32&lt;=3,IF('Model inputs'!R32="","",'Model inputs'!R32&lt;=3))),IF('Model inputs'!B52="","",'Model inputs'!B52),IF(IF(IF(ISERROR('Model inputs'!R32&lt;=6),'Model inputs'!R32&lt;=6,IF('Model inputs'!R32="","",'Model inputs'!R32&lt;=6))="",FALSE,IF(ISERROR('Model inputs'!R32&lt;=6),'Model inputs'!R32&lt;=6,IF('Model inputs'!R32="","",'Model inputs'!R32&lt;=6))),'Model inputs'!B52+('Model inputs'!B55-'Model inputs'!B52)*('Model inputs'!R32-3)/3,IF(IF(IF(ISERROR('Model inputs'!R32&lt;=12),'Model inputs'!R32&lt;=12,IF('Model inputs'!R32="","",'Model inputs'!R32&lt;=12))="",FALSE,IF(ISERROR('Model inputs'!R32&lt;=12),'Model inputs'!R32&lt;=12,IF('Model inputs'!R32="","",'Model inputs'!R32&lt;=12))),'Model inputs'!B55+('Model inputs'!B46-'Model inputs'!B55)*('Model inputs'!R32-6)/6,'Model inputs'!B46+('Model inputs'!B49-'Model inputs'!B46)*('Model inputs'!R32-12)/12))),0))</f>
        <v>19</v>
      </c>
      <c r="S17" s="9">
        <f>IF(IF(IF(ISERROR('Model inputs'!S32&lt;1),'Model inputs'!S32&lt;1,IF('Model inputs'!S32="","",'Model inputs'!S32&lt;1))="",FALSE,IF(ISERROR('Model inputs'!S32&lt;1),'Model inputs'!S32&lt;1,IF('Model inputs'!S32="","",'Model inputs'!S32&lt;1))),0,ROUND(IF(IF(IF(ISERROR('Model inputs'!S32&lt;=3),'Model inputs'!S32&lt;=3,IF('Model inputs'!S32="","",'Model inputs'!S32&lt;=3))="",FALSE,IF(ISERROR('Model inputs'!S32&lt;=3),'Model inputs'!S32&lt;=3,IF('Model inputs'!S32="","",'Model inputs'!S32&lt;=3))),IF('Model inputs'!B52="","",'Model inputs'!B52),IF(IF(IF(ISERROR('Model inputs'!S32&lt;=6),'Model inputs'!S32&lt;=6,IF('Model inputs'!S32="","",'Model inputs'!S32&lt;=6))="",FALSE,IF(ISERROR('Model inputs'!S32&lt;=6),'Model inputs'!S32&lt;=6,IF('Model inputs'!S32="","",'Model inputs'!S32&lt;=6))),'Model inputs'!B52+('Model inputs'!B55-'Model inputs'!B52)*('Model inputs'!S32-3)/3,IF(IF(IF(ISERROR('Model inputs'!S32&lt;=12),'Model inputs'!S32&lt;=12,IF('Model inputs'!S32="","",'Model inputs'!S32&lt;=12))="",FALSE,IF(ISERROR('Model inputs'!S32&lt;=12),'Model inputs'!S32&lt;=12,IF('Model inputs'!S32="","",'Model inputs'!S32&lt;=12))),'Model inputs'!B55+('Model inputs'!B46-'Model inputs'!B55)*('Model inputs'!S32-6)/6,'Model inputs'!B46+('Model inputs'!B49-'Model inputs'!B46)*('Model inputs'!S32-12)/12))),0))</f>
        <v>21</v>
      </c>
      <c r="T17" s="9">
        <f>IF(IF(IF(ISERROR('Model inputs'!T32&lt;1),'Model inputs'!T32&lt;1,IF('Model inputs'!T32="","",'Model inputs'!T32&lt;1))="",FALSE,IF(ISERROR('Model inputs'!T32&lt;1),'Model inputs'!T32&lt;1,IF('Model inputs'!T32="","",'Model inputs'!T32&lt;1))),0,ROUND(IF(IF(IF(ISERROR('Model inputs'!T32&lt;=3),'Model inputs'!T32&lt;=3,IF('Model inputs'!T32="","",'Model inputs'!T32&lt;=3))="",FALSE,IF(ISERROR('Model inputs'!T32&lt;=3),'Model inputs'!T32&lt;=3,IF('Model inputs'!T32="","",'Model inputs'!T32&lt;=3))),IF('Model inputs'!B52="","",'Model inputs'!B52),IF(IF(IF(ISERROR('Model inputs'!T32&lt;=6),'Model inputs'!T32&lt;=6,IF('Model inputs'!T32="","",'Model inputs'!T32&lt;=6))="",FALSE,IF(ISERROR('Model inputs'!T32&lt;=6),'Model inputs'!T32&lt;=6,IF('Model inputs'!T32="","",'Model inputs'!T32&lt;=6))),'Model inputs'!B52+('Model inputs'!B55-'Model inputs'!B52)*('Model inputs'!T32-3)/3,IF(IF(IF(ISERROR('Model inputs'!T32&lt;=12),'Model inputs'!T32&lt;=12,IF('Model inputs'!T32="","",'Model inputs'!T32&lt;=12))="",FALSE,IF(ISERROR('Model inputs'!T32&lt;=12),'Model inputs'!T32&lt;=12,IF('Model inputs'!T32="","",'Model inputs'!T32&lt;=12))),'Model inputs'!B55+('Model inputs'!B46-'Model inputs'!B55)*('Model inputs'!T32-6)/6,'Model inputs'!B46+('Model inputs'!B49-'Model inputs'!B46)*('Model inputs'!T32-12)/12))),0))</f>
        <v>23</v>
      </c>
      <c r="U17" s="9">
        <f>IF(IF(IF(ISERROR('Model inputs'!U32&lt;1),'Model inputs'!U32&lt;1,IF('Model inputs'!U32="","",'Model inputs'!U32&lt;1))="",FALSE,IF(ISERROR('Model inputs'!U32&lt;1),'Model inputs'!U32&lt;1,IF('Model inputs'!U32="","",'Model inputs'!U32&lt;1))),0,ROUND(IF(IF(IF(ISERROR('Model inputs'!U32&lt;=3),'Model inputs'!U32&lt;=3,IF('Model inputs'!U32="","",'Model inputs'!U32&lt;=3))="",FALSE,IF(ISERROR('Model inputs'!U32&lt;=3),'Model inputs'!U32&lt;=3,IF('Model inputs'!U32="","",'Model inputs'!U32&lt;=3))),IF('Model inputs'!B52="","",'Model inputs'!B52),IF(IF(IF(ISERROR('Model inputs'!U32&lt;=6),'Model inputs'!U32&lt;=6,IF('Model inputs'!U32="","",'Model inputs'!U32&lt;=6))="",FALSE,IF(ISERROR('Model inputs'!U32&lt;=6),'Model inputs'!U32&lt;=6,IF('Model inputs'!U32="","",'Model inputs'!U32&lt;=6))),'Model inputs'!B52+('Model inputs'!B55-'Model inputs'!B52)*('Model inputs'!U32-3)/3,IF(IF(IF(ISERROR('Model inputs'!U32&lt;=12),'Model inputs'!U32&lt;=12,IF('Model inputs'!U32="","",'Model inputs'!U32&lt;=12))="",FALSE,IF(ISERROR('Model inputs'!U32&lt;=12),'Model inputs'!U32&lt;=12,IF('Model inputs'!U32="","",'Model inputs'!U32&lt;=12))),'Model inputs'!B55+('Model inputs'!B46-'Model inputs'!B55)*('Model inputs'!U32-6)/6,'Model inputs'!B46+('Model inputs'!B49-'Model inputs'!B46)*('Model inputs'!U32-12)/12))),0))</f>
        <v>25</v>
      </c>
      <c r="V17" s="9">
        <f>IF(IF(IF(ISERROR('Model inputs'!V32&lt;1),'Model inputs'!V32&lt;1,IF('Model inputs'!V32="","",'Model inputs'!V32&lt;1))="",FALSE,IF(ISERROR('Model inputs'!V32&lt;1),'Model inputs'!V32&lt;1,IF('Model inputs'!V32="","",'Model inputs'!V32&lt;1))),0,ROUND(IF(IF(IF(ISERROR('Model inputs'!V32&lt;=3),'Model inputs'!V32&lt;=3,IF('Model inputs'!V32="","",'Model inputs'!V32&lt;=3))="",FALSE,IF(ISERROR('Model inputs'!V32&lt;=3),'Model inputs'!V32&lt;=3,IF('Model inputs'!V32="","",'Model inputs'!V32&lt;=3))),IF('Model inputs'!B52="","",'Model inputs'!B52),IF(IF(IF(ISERROR('Model inputs'!V32&lt;=6),'Model inputs'!V32&lt;=6,IF('Model inputs'!V32="","",'Model inputs'!V32&lt;=6))="",FALSE,IF(ISERROR('Model inputs'!V32&lt;=6),'Model inputs'!V32&lt;=6,IF('Model inputs'!V32="","",'Model inputs'!V32&lt;=6))),'Model inputs'!B52+('Model inputs'!B55-'Model inputs'!B52)*('Model inputs'!V32-3)/3,IF(IF(IF(ISERROR('Model inputs'!V32&lt;=12),'Model inputs'!V32&lt;=12,IF('Model inputs'!V32="","",'Model inputs'!V32&lt;=12))="",FALSE,IF(ISERROR('Model inputs'!V32&lt;=12),'Model inputs'!V32&lt;=12,IF('Model inputs'!V32="","",'Model inputs'!V32&lt;=12))),'Model inputs'!B55+('Model inputs'!B46-'Model inputs'!B55)*('Model inputs'!V32-6)/6,'Model inputs'!B46+('Model inputs'!B49-'Model inputs'!B46)*('Model inputs'!V32-12)/12))),0))</f>
        <v>28</v>
      </c>
      <c r="W17" s="9">
        <f>IF(IF(IF(ISERROR('Model inputs'!W32&lt;1),'Model inputs'!W32&lt;1,IF('Model inputs'!W32="","",'Model inputs'!W32&lt;1))="",FALSE,IF(ISERROR('Model inputs'!W32&lt;1),'Model inputs'!W32&lt;1,IF('Model inputs'!W32="","",'Model inputs'!W32&lt;1))),0,ROUND(IF(IF(IF(ISERROR('Model inputs'!W32&lt;=3),'Model inputs'!W32&lt;=3,IF('Model inputs'!W32="","",'Model inputs'!W32&lt;=3))="",FALSE,IF(ISERROR('Model inputs'!W32&lt;=3),'Model inputs'!W32&lt;=3,IF('Model inputs'!W32="","",'Model inputs'!W32&lt;=3))),IF('Model inputs'!B52="","",'Model inputs'!B52),IF(IF(IF(ISERROR('Model inputs'!W32&lt;=6),'Model inputs'!W32&lt;=6,IF('Model inputs'!W32="","",'Model inputs'!W32&lt;=6))="",FALSE,IF(ISERROR('Model inputs'!W32&lt;=6),'Model inputs'!W32&lt;=6,IF('Model inputs'!W32="","",'Model inputs'!W32&lt;=6))),'Model inputs'!B52+('Model inputs'!B55-'Model inputs'!B52)*('Model inputs'!W32-3)/3,IF(IF(IF(ISERROR('Model inputs'!W32&lt;=12),'Model inputs'!W32&lt;=12,IF('Model inputs'!W32="","",'Model inputs'!W32&lt;=12))="",FALSE,IF(ISERROR('Model inputs'!W32&lt;=12),'Model inputs'!W32&lt;=12,IF('Model inputs'!W32="","",'Model inputs'!W32&lt;=12))),'Model inputs'!B55+('Model inputs'!B46-'Model inputs'!B55)*('Model inputs'!W32-6)/6,'Model inputs'!B46+('Model inputs'!B49-'Model inputs'!B46)*('Model inputs'!W32-12)/12))),0))</f>
        <v>30</v>
      </c>
      <c r="X17" s="9">
        <f>IF(IF(IF(ISERROR('Model inputs'!X32&lt;1),'Model inputs'!X32&lt;1,IF('Model inputs'!X32="","",'Model inputs'!X32&lt;1))="",FALSE,IF(ISERROR('Model inputs'!X32&lt;1),'Model inputs'!X32&lt;1,IF('Model inputs'!X32="","",'Model inputs'!X32&lt;1))),0,ROUND(IF(IF(IF(ISERROR('Model inputs'!X32&lt;=3),'Model inputs'!X32&lt;=3,IF('Model inputs'!X32="","",'Model inputs'!X32&lt;=3))="",FALSE,IF(ISERROR('Model inputs'!X32&lt;=3),'Model inputs'!X32&lt;=3,IF('Model inputs'!X32="","",'Model inputs'!X32&lt;=3))),IF('Model inputs'!B52="","",'Model inputs'!B52),IF(IF(IF(ISERROR('Model inputs'!X32&lt;=6),'Model inputs'!X32&lt;=6,IF('Model inputs'!X32="","",'Model inputs'!X32&lt;=6))="",FALSE,IF(ISERROR('Model inputs'!X32&lt;=6),'Model inputs'!X32&lt;=6,IF('Model inputs'!X32="","",'Model inputs'!X32&lt;=6))),'Model inputs'!B52+('Model inputs'!B55-'Model inputs'!B52)*('Model inputs'!X32-3)/3,IF(IF(IF(ISERROR('Model inputs'!X32&lt;=12),'Model inputs'!X32&lt;=12,IF('Model inputs'!X32="","",'Model inputs'!X32&lt;=12))="",FALSE,IF(ISERROR('Model inputs'!X32&lt;=12),'Model inputs'!X32&lt;=12,IF('Model inputs'!X32="","",'Model inputs'!X32&lt;=12))),'Model inputs'!B55+('Model inputs'!B46-'Model inputs'!B55)*('Model inputs'!X32-6)/6,'Model inputs'!B46+('Model inputs'!B49-'Model inputs'!B46)*('Model inputs'!X32-12)/12))),0))</f>
        <v>32</v>
      </c>
      <c r="Y17" s="9">
        <f>IF(IF(IF(ISERROR('Model inputs'!Y32&lt;1),'Model inputs'!Y32&lt;1,IF('Model inputs'!Y32="","",'Model inputs'!Y32&lt;1))="",FALSE,IF(ISERROR('Model inputs'!Y32&lt;1),'Model inputs'!Y32&lt;1,IF('Model inputs'!Y32="","",'Model inputs'!Y32&lt;1))),0,ROUND(IF(IF(IF(ISERROR('Model inputs'!Y32&lt;=3),'Model inputs'!Y32&lt;=3,IF('Model inputs'!Y32="","",'Model inputs'!Y32&lt;=3))="",FALSE,IF(ISERROR('Model inputs'!Y32&lt;=3),'Model inputs'!Y32&lt;=3,IF('Model inputs'!Y32="","",'Model inputs'!Y32&lt;=3))),IF('Model inputs'!B52="","",'Model inputs'!B52),IF(IF(IF(ISERROR('Model inputs'!Y32&lt;=6),'Model inputs'!Y32&lt;=6,IF('Model inputs'!Y32="","",'Model inputs'!Y32&lt;=6))="",FALSE,IF(ISERROR('Model inputs'!Y32&lt;=6),'Model inputs'!Y32&lt;=6,IF('Model inputs'!Y32="","",'Model inputs'!Y32&lt;=6))),'Model inputs'!B52+('Model inputs'!B55-'Model inputs'!B52)*('Model inputs'!Y32-3)/3,IF(IF(IF(ISERROR('Model inputs'!Y32&lt;=12),'Model inputs'!Y32&lt;=12,IF('Model inputs'!Y32="","",'Model inputs'!Y32&lt;=12))="",FALSE,IF(ISERROR('Model inputs'!Y32&lt;=12),'Model inputs'!Y32&lt;=12,IF('Model inputs'!Y32="","",'Model inputs'!Y32&lt;=12))),'Model inputs'!B55+('Model inputs'!B46-'Model inputs'!B55)*('Model inputs'!Y32-6)/6,'Model inputs'!B46+('Model inputs'!B49-'Model inputs'!B46)*('Model inputs'!Y32-12)/12))),0))</f>
        <v>34</v>
      </c>
      <c r="Z17" s="9">
        <f>IF(IF(IF(ISERROR('Model inputs'!Z32&lt;1),'Model inputs'!Z32&lt;1,IF('Model inputs'!Z32="","",'Model inputs'!Z32&lt;1))="",FALSE,IF(ISERROR('Model inputs'!Z32&lt;1),'Model inputs'!Z32&lt;1,IF('Model inputs'!Z32="","",'Model inputs'!Z32&lt;1))),0,ROUND(IF(IF(IF(ISERROR('Model inputs'!Z32&lt;=3),'Model inputs'!Z32&lt;=3,IF('Model inputs'!Z32="","",'Model inputs'!Z32&lt;=3))="",FALSE,IF(ISERROR('Model inputs'!Z32&lt;=3),'Model inputs'!Z32&lt;=3,IF('Model inputs'!Z32="","",'Model inputs'!Z32&lt;=3))),IF('Model inputs'!B52="","",'Model inputs'!B52),IF(IF(IF(ISERROR('Model inputs'!Z32&lt;=6),'Model inputs'!Z32&lt;=6,IF('Model inputs'!Z32="","",'Model inputs'!Z32&lt;=6))="",FALSE,IF(ISERROR('Model inputs'!Z32&lt;=6),'Model inputs'!Z32&lt;=6,IF('Model inputs'!Z32="","",'Model inputs'!Z32&lt;=6))),'Model inputs'!B52+('Model inputs'!B55-'Model inputs'!B52)*('Model inputs'!Z32-3)/3,IF(IF(IF(ISERROR('Model inputs'!Z32&lt;=12),'Model inputs'!Z32&lt;=12,IF('Model inputs'!Z32="","",'Model inputs'!Z32&lt;=12))="",FALSE,IF(ISERROR('Model inputs'!Z32&lt;=12),'Model inputs'!Z32&lt;=12,IF('Model inputs'!Z32="","",'Model inputs'!Z32&lt;=12))),'Model inputs'!B55+('Model inputs'!B46-'Model inputs'!B55)*('Model inputs'!Z32-6)/6,'Model inputs'!B46+('Model inputs'!B49-'Model inputs'!B46)*('Model inputs'!Z32-12)/12))),0))</f>
        <v>36</v>
      </c>
      <c r="AA17" s="9">
        <f>IF(IF(IF(ISERROR('Model inputs'!AA32&lt;1),'Model inputs'!AA32&lt;1,IF('Model inputs'!AA32="","",'Model inputs'!AA32&lt;1))="",FALSE,IF(ISERROR('Model inputs'!AA32&lt;1),'Model inputs'!AA32&lt;1,IF('Model inputs'!AA32="","",'Model inputs'!AA32&lt;1))),0,ROUND(IF(IF(IF(ISERROR('Model inputs'!AA32&lt;=3),'Model inputs'!AA32&lt;=3,IF('Model inputs'!AA32="","",'Model inputs'!AA32&lt;=3))="",FALSE,IF(ISERROR('Model inputs'!AA32&lt;=3),'Model inputs'!AA32&lt;=3,IF('Model inputs'!AA32="","",'Model inputs'!AA32&lt;=3))),IF('Model inputs'!B52="","",'Model inputs'!B52),IF(IF(IF(ISERROR('Model inputs'!AA32&lt;=6),'Model inputs'!AA32&lt;=6,IF('Model inputs'!AA32="","",'Model inputs'!AA32&lt;=6))="",FALSE,IF(ISERROR('Model inputs'!AA32&lt;=6),'Model inputs'!AA32&lt;=6,IF('Model inputs'!AA32="","",'Model inputs'!AA32&lt;=6))),'Model inputs'!B52+('Model inputs'!B55-'Model inputs'!B52)*('Model inputs'!AA32-3)/3,IF(IF(IF(ISERROR('Model inputs'!AA32&lt;=12),'Model inputs'!AA32&lt;=12,IF('Model inputs'!AA32="","",'Model inputs'!AA32&lt;=12))="",FALSE,IF(ISERROR('Model inputs'!AA32&lt;=12),'Model inputs'!AA32&lt;=12,IF('Model inputs'!AA32="","",'Model inputs'!AA32&lt;=12))),'Model inputs'!B55+('Model inputs'!B46-'Model inputs'!B55)*('Model inputs'!AA32-6)/6,'Model inputs'!B46+('Model inputs'!B49-'Model inputs'!B46)*('Model inputs'!AA32-12)/12))),0))</f>
        <v>38</v>
      </c>
      <c r="AB17" s="9">
        <f>IF(IF(IF(ISERROR('Model inputs'!AB32&lt;1),'Model inputs'!AB32&lt;1,IF('Model inputs'!AB32="","",'Model inputs'!AB32&lt;1))="",FALSE,IF(ISERROR('Model inputs'!AB32&lt;1),'Model inputs'!AB32&lt;1,IF('Model inputs'!AB32="","",'Model inputs'!AB32&lt;1))),0,ROUND(IF(IF(IF(ISERROR('Model inputs'!AB32&lt;=3),'Model inputs'!AB32&lt;=3,IF('Model inputs'!AB32="","",'Model inputs'!AB32&lt;=3))="",FALSE,IF(ISERROR('Model inputs'!AB32&lt;=3),'Model inputs'!AB32&lt;=3,IF('Model inputs'!AB32="","",'Model inputs'!AB32&lt;=3))),IF('Model inputs'!B52="","",'Model inputs'!B52),IF(IF(IF(ISERROR('Model inputs'!AB32&lt;=6),'Model inputs'!AB32&lt;=6,IF('Model inputs'!AB32="","",'Model inputs'!AB32&lt;=6))="",FALSE,IF(ISERROR('Model inputs'!AB32&lt;=6),'Model inputs'!AB32&lt;=6,IF('Model inputs'!AB32="","",'Model inputs'!AB32&lt;=6))),'Model inputs'!B52+('Model inputs'!B55-'Model inputs'!B52)*('Model inputs'!AB32-3)/3,IF(IF(IF(ISERROR('Model inputs'!AB32&lt;=12),'Model inputs'!AB32&lt;=12,IF('Model inputs'!AB32="","",'Model inputs'!AB32&lt;=12))="",FALSE,IF(ISERROR('Model inputs'!AB32&lt;=12),'Model inputs'!AB32&lt;=12,IF('Model inputs'!AB32="","",'Model inputs'!AB32&lt;=12))),'Model inputs'!B55+('Model inputs'!B46-'Model inputs'!B55)*('Model inputs'!AB32-6)/6,'Model inputs'!B46+('Model inputs'!B49-'Model inputs'!B46)*('Model inputs'!AB32-12)/12))),0))</f>
        <v>40</v>
      </c>
    </row>
    <row r="18" outlineLevel="1">
      <c r="A18" t="inlineStr" s="20">
        <is>
          <t xml:space="preserve">Customers &gt; Team</t>
        </is>
      </c>
      <c r="C18" s="9">
        <f>0</f>
        <v>0</v>
      </c>
      <c r="D18" s="9">
        <f>IF(IF(IF(ISERROR('Model inputs'!D32&lt;1),'Model inputs'!D32&lt;1,IF('Model inputs'!D32="","",'Model inputs'!D32&lt;1))="",FALSE,IF(ISERROR('Model inputs'!D32&lt;1),'Model inputs'!D32&lt;1,IF('Model inputs'!D32="","",'Model inputs'!D32&lt;1))),0,ROUND(IF(IF(IF(ISERROR('Model inputs'!D32&lt;=3),'Model inputs'!D32&lt;=3,IF('Model inputs'!D32="","",'Model inputs'!D32&lt;=3))="",FALSE,IF(ISERROR('Model inputs'!D32&lt;=3),'Model inputs'!D32&lt;=3,IF('Model inputs'!D32="","",'Model inputs'!D32&lt;=3))),IF('Model inputs'!B53="","",'Model inputs'!B53),IF(IF(IF(ISERROR('Model inputs'!D32&lt;=6),'Model inputs'!D32&lt;=6,IF('Model inputs'!D32="","",'Model inputs'!D32&lt;=6))="",FALSE,IF(ISERROR('Model inputs'!D32&lt;=6),'Model inputs'!D32&lt;=6,IF('Model inputs'!D32="","",'Model inputs'!D32&lt;=6))),'Model inputs'!B53+('Model inputs'!B56-'Model inputs'!B53)*('Model inputs'!D32-3)/3,IF(IF(IF(ISERROR('Model inputs'!D32&lt;=12),'Model inputs'!D32&lt;=12,IF('Model inputs'!D32="","",'Model inputs'!D32&lt;=12))="",FALSE,IF(ISERROR('Model inputs'!D32&lt;=12),'Model inputs'!D32&lt;=12,IF('Model inputs'!D32="","",'Model inputs'!D32&lt;=12))),'Model inputs'!B56+('Model inputs'!B47-'Model inputs'!B56)*('Model inputs'!D32-6)/6,'Model inputs'!B47+('Model inputs'!B50-'Model inputs'!B47)*('Model inputs'!D32-12)/12))),0))</f>
        <v>0</v>
      </c>
      <c r="E18" s="9">
        <f>IF(IF(IF(ISERROR('Model inputs'!E32&lt;1),'Model inputs'!E32&lt;1,IF('Model inputs'!E32="","",'Model inputs'!E32&lt;1))="",FALSE,IF(ISERROR('Model inputs'!E32&lt;1),'Model inputs'!E32&lt;1,IF('Model inputs'!E32="","",'Model inputs'!E32&lt;1))),0,ROUND(IF(IF(IF(ISERROR('Model inputs'!E32&lt;=3),'Model inputs'!E32&lt;=3,IF('Model inputs'!E32="","",'Model inputs'!E32&lt;=3))="",FALSE,IF(ISERROR('Model inputs'!E32&lt;=3),'Model inputs'!E32&lt;=3,IF('Model inputs'!E32="","",'Model inputs'!E32&lt;=3))),IF('Model inputs'!B53="","",'Model inputs'!B53),IF(IF(IF(ISERROR('Model inputs'!E32&lt;=6),'Model inputs'!E32&lt;=6,IF('Model inputs'!E32="","",'Model inputs'!E32&lt;=6))="",FALSE,IF(ISERROR('Model inputs'!E32&lt;=6),'Model inputs'!E32&lt;=6,IF('Model inputs'!E32="","",'Model inputs'!E32&lt;=6))),'Model inputs'!B53+('Model inputs'!B56-'Model inputs'!B53)*('Model inputs'!E32-3)/3,IF(IF(IF(ISERROR('Model inputs'!E32&lt;=12),'Model inputs'!E32&lt;=12,IF('Model inputs'!E32="","",'Model inputs'!E32&lt;=12))="",FALSE,IF(ISERROR('Model inputs'!E32&lt;=12),'Model inputs'!E32&lt;=12,IF('Model inputs'!E32="","",'Model inputs'!E32&lt;=12))),'Model inputs'!B56+('Model inputs'!B47-'Model inputs'!B56)*('Model inputs'!E32-6)/6,'Model inputs'!B47+('Model inputs'!B50-'Model inputs'!B47)*('Model inputs'!E32-12)/12))),0))</f>
        <v>0</v>
      </c>
      <c r="F18" s="9">
        <f>IF(IF(IF(ISERROR('Model inputs'!F32&lt;1),'Model inputs'!F32&lt;1,IF('Model inputs'!F32="","",'Model inputs'!F32&lt;1))="",FALSE,IF(ISERROR('Model inputs'!F32&lt;1),'Model inputs'!F32&lt;1,IF('Model inputs'!F32="","",'Model inputs'!F32&lt;1))),0,ROUND(IF(IF(IF(ISERROR('Model inputs'!F32&lt;=3),'Model inputs'!F32&lt;=3,IF('Model inputs'!F32="","",'Model inputs'!F32&lt;=3))="",FALSE,IF(ISERROR('Model inputs'!F32&lt;=3),'Model inputs'!F32&lt;=3,IF('Model inputs'!F32="","",'Model inputs'!F32&lt;=3))),IF('Model inputs'!B53="","",'Model inputs'!B53),IF(IF(IF(ISERROR('Model inputs'!F32&lt;=6),'Model inputs'!F32&lt;=6,IF('Model inputs'!F32="","",'Model inputs'!F32&lt;=6))="",FALSE,IF(ISERROR('Model inputs'!F32&lt;=6),'Model inputs'!F32&lt;=6,IF('Model inputs'!F32="","",'Model inputs'!F32&lt;=6))),'Model inputs'!B53+('Model inputs'!B56-'Model inputs'!B53)*('Model inputs'!F32-3)/3,IF(IF(IF(ISERROR('Model inputs'!F32&lt;=12),'Model inputs'!F32&lt;=12,IF('Model inputs'!F32="","",'Model inputs'!F32&lt;=12))="",FALSE,IF(ISERROR('Model inputs'!F32&lt;=12),'Model inputs'!F32&lt;=12,IF('Model inputs'!F32="","",'Model inputs'!F32&lt;=12))),'Model inputs'!B56+('Model inputs'!B47-'Model inputs'!B56)*('Model inputs'!F32-6)/6,'Model inputs'!B47+('Model inputs'!B50-'Model inputs'!B47)*('Model inputs'!F32-12)/12))),0))</f>
        <v>0</v>
      </c>
      <c r="G18" s="9">
        <f>IF(IF(IF(ISERROR('Model inputs'!G32&lt;1),'Model inputs'!G32&lt;1,IF('Model inputs'!G32="","",'Model inputs'!G32&lt;1))="",FALSE,IF(ISERROR('Model inputs'!G32&lt;1),'Model inputs'!G32&lt;1,IF('Model inputs'!G32="","",'Model inputs'!G32&lt;1))),0,ROUND(IF(IF(IF(ISERROR('Model inputs'!G32&lt;=3),'Model inputs'!G32&lt;=3,IF('Model inputs'!G32="","",'Model inputs'!G32&lt;=3))="",FALSE,IF(ISERROR('Model inputs'!G32&lt;=3),'Model inputs'!G32&lt;=3,IF('Model inputs'!G32="","",'Model inputs'!G32&lt;=3))),IF('Model inputs'!B53="","",'Model inputs'!B53),IF(IF(IF(ISERROR('Model inputs'!G32&lt;=6),'Model inputs'!G32&lt;=6,IF('Model inputs'!G32="","",'Model inputs'!G32&lt;=6))="",FALSE,IF(ISERROR('Model inputs'!G32&lt;=6),'Model inputs'!G32&lt;=6,IF('Model inputs'!G32="","",'Model inputs'!G32&lt;=6))),'Model inputs'!B53+('Model inputs'!B56-'Model inputs'!B53)*('Model inputs'!G32-3)/3,IF(IF(IF(ISERROR('Model inputs'!G32&lt;=12),'Model inputs'!G32&lt;=12,IF('Model inputs'!G32="","",'Model inputs'!G32&lt;=12))="",FALSE,IF(ISERROR('Model inputs'!G32&lt;=12),'Model inputs'!G32&lt;=12,IF('Model inputs'!G32="","",'Model inputs'!G32&lt;=12))),'Model inputs'!B56+('Model inputs'!B47-'Model inputs'!B56)*('Model inputs'!G32-6)/6,'Model inputs'!B47+('Model inputs'!B50-'Model inputs'!B47)*('Model inputs'!G32-12)/12))),0))</f>
        <v>0</v>
      </c>
      <c r="H18" s="9">
        <f>IF(IF(IF(ISERROR('Model inputs'!H32&lt;1),'Model inputs'!H32&lt;1,IF('Model inputs'!H32="","",'Model inputs'!H32&lt;1))="",FALSE,IF(ISERROR('Model inputs'!H32&lt;1),'Model inputs'!H32&lt;1,IF('Model inputs'!H32="","",'Model inputs'!H32&lt;1))),0,ROUND(IF(IF(IF(ISERROR('Model inputs'!H32&lt;=3),'Model inputs'!H32&lt;=3,IF('Model inputs'!H32="","",'Model inputs'!H32&lt;=3))="",FALSE,IF(ISERROR('Model inputs'!H32&lt;=3),'Model inputs'!H32&lt;=3,IF('Model inputs'!H32="","",'Model inputs'!H32&lt;=3))),IF('Model inputs'!B53="","",'Model inputs'!B53),IF(IF(IF(ISERROR('Model inputs'!H32&lt;=6),'Model inputs'!H32&lt;=6,IF('Model inputs'!H32="","",'Model inputs'!H32&lt;=6))="",FALSE,IF(ISERROR('Model inputs'!H32&lt;=6),'Model inputs'!H32&lt;=6,IF('Model inputs'!H32="","",'Model inputs'!H32&lt;=6))),'Model inputs'!B53+('Model inputs'!B56-'Model inputs'!B53)*('Model inputs'!H32-3)/3,IF(IF(IF(ISERROR('Model inputs'!H32&lt;=12),'Model inputs'!H32&lt;=12,IF('Model inputs'!H32="","",'Model inputs'!H32&lt;=12))="",FALSE,IF(ISERROR('Model inputs'!H32&lt;=12),'Model inputs'!H32&lt;=12,IF('Model inputs'!H32="","",'Model inputs'!H32&lt;=12))),'Model inputs'!B56+('Model inputs'!B47-'Model inputs'!B56)*('Model inputs'!H32-6)/6,'Model inputs'!B47+('Model inputs'!B50-'Model inputs'!B47)*('Model inputs'!H32-12)/12))),0))</f>
        <v>0</v>
      </c>
      <c r="I18" s="9">
        <f>IF(IF(IF(ISERROR('Model inputs'!I32&lt;1),'Model inputs'!I32&lt;1,IF('Model inputs'!I32="","",'Model inputs'!I32&lt;1))="",FALSE,IF(ISERROR('Model inputs'!I32&lt;1),'Model inputs'!I32&lt;1,IF('Model inputs'!I32="","",'Model inputs'!I32&lt;1))),0,ROUND(IF(IF(IF(ISERROR('Model inputs'!I32&lt;=3),'Model inputs'!I32&lt;=3,IF('Model inputs'!I32="","",'Model inputs'!I32&lt;=3))="",FALSE,IF(ISERROR('Model inputs'!I32&lt;=3),'Model inputs'!I32&lt;=3,IF('Model inputs'!I32="","",'Model inputs'!I32&lt;=3))),IF('Model inputs'!B53="","",'Model inputs'!B53),IF(IF(IF(ISERROR('Model inputs'!I32&lt;=6),'Model inputs'!I32&lt;=6,IF('Model inputs'!I32="","",'Model inputs'!I32&lt;=6))="",FALSE,IF(ISERROR('Model inputs'!I32&lt;=6),'Model inputs'!I32&lt;=6,IF('Model inputs'!I32="","",'Model inputs'!I32&lt;=6))),'Model inputs'!B53+('Model inputs'!B56-'Model inputs'!B53)*('Model inputs'!I32-3)/3,IF(IF(IF(ISERROR('Model inputs'!I32&lt;=12),'Model inputs'!I32&lt;=12,IF('Model inputs'!I32="","",'Model inputs'!I32&lt;=12))="",FALSE,IF(ISERROR('Model inputs'!I32&lt;=12),'Model inputs'!I32&lt;=12,IF('Model inputs'!I32="","",'Model inputs'!I32&lt;=12))),'Model inputs'!B56+('Model inputs'!B47-'Model inputs'!B56)*('Model inputs'!I32-6)/6,'Model inputs'!B47+('Model inputs'!B50-'Model inputs'!B47)*('Model inputs'!I32-12)/12))),0))</f>
        <v>1</v>
      </c>
      <c r="J18" s="9">
        <f>IF(IF(IF(ISERROR('Model inputs'!J32&lt;1),'Model inputs'!J32&lt;1,IF('Model inputs'!J32="","",'Model inputs'!J32&lt;1))="",FALSE,IF(ISERROR('Model inputs'!J32&lt;1),'Model inputs'!J32&lt;1,IF('Model inputs'!J32="","",'Model inputs'!J32&lt;1))),0,ROUND(IF(IF(IF(ISERROR('Model inputs'!J32&lt;=3),'Model inputs'!J32&lt;=3,IF('Model inputs'!J32="","",'Model inputs'!J32&lt;=3))="",FALSE,IF(ISERROR('Model inputs'!J32&lt;=3),'Model inputs'!J32&lt;=3,IF('Model inputs'!J32="","",'Model inputs'!J32&lt;=3))),IF('Model inputs'!B53="","",'Model inputs'!B53),IF(IF(IF(ISERROR('Model inputs'!J32&lt;=6),'Model inputs'!J32&lt;=6,IF('Model inputs'!J32="","",'Model inputs'!J32&lt;=6))="",FALSE,IF(ISERROR('Model inputs'!J32&lt;=6),'Model inputs'!J32&lt;=6,IF('Model inputs'!J32="","",'Model inputs'!J32&lt;=6))),'Model inputs'!B53+('Model inputs'!B56-'Model inputs'!B53)*('Model inputs'!J32-3)/3,IF(IF(IF(ISERROR('Model inputs'!J32&lt;=12),'Model inputs'!J32&lt;=12,IF('Model inputs'!J32="","",'Model inputs'!J32&lt;=12))="",FALSE,IF(ISERROR('Model inputs'!J32&lt;=12),'Model inputs'!J32&lt;=12,IF('Model inputs'!J32="","",'Model inputs'!J32&lt;=12))),'Model inputs'!B56+('Model inputs'!B47-'Model inputs'!B56)*('Model inputs'!J32-6)/6,'Model inputs'!B47+('Model inputs'!B50-'Model inputs'!B47)*('Model inputs'!J32-12)/12))),0))</f>
        <v>1</v>
      </c>
      <c r="K18" s="9">
        <f>IF(IF(IF(ISERROR('Model inputs'!K32&lt;1),'Model inputs'!K32&lt;1,IF('Model inputs'!K32="","",'Model inputs'!K32&lt;1))="",FALSE,IF(ISERROR('Model inputs'!K32&lt;1),'Model inputs'!K32&lt;1,IF('Model inputs'!K32="","",'Model inputs'!K32&lt;1))),0,ROUND(IF(IF(IF(ISERROR('Model inputs'!K32&lt;=3),'Model inputs'!K32&lt;=3,IF('Model inputs'!K32="","",'Model inputs'!K32&lt;=3))="",FALSE,IF(ISERROR('Model inputs'!K32&lt;=3),'Model inputs'!K32&lt;=3,IF('Model inputs'!K32="","",'Model inputs'!K32&lt;=3))),IF('Model inputs'!B53="","",'Model inputs'!B53),IF(IF(IF(ISERROR('Model inputs'!K32&lt;=6),'Model inputs'!K32&lt;=6,IF('Model inputs'!K32="","",'Model inputs'!K32&lt;=6))="",FALSE,IF(ISERROR('Model inputs'!K32&lt;=6),'Model inputs'!K32&lt;=6,IF('Model inputs'!K32="","",'Model inputs'!K32&lt;=6))),'Model inputs'!B53+('Model inputs'!B56-'Model inputs'!B53)*('Model inputs'!K32-3)/3,IF(IF(IF(ISERROR('Model inputs'!K32&lt;=12),'Model inputs'!K32&lt;=12,IF('Model inputs'!K32="","",'Model inputs'!K32&lt;=12))="",FALSE,IF(ISERROR('Model inputs'!K32&lt;=12),'Model inputs'!K32&lt;=12,IF('Model inputs'!K32="","",'Model inputs'!K32&lt;=12))),'Model inputs'!B56+('Model inputs'!B47-'Model inputs'!B56)*('Model inputs'!K32-6)/6,'Model inputs'!B47+('Model inputs'!B50-'Model inputs'!B47)*('Model inputs'!K32-12)/12))),0))</f>
        <v>1</v>
      </c>
      <c r="L18" s="9">
        <f>IF(IF(IF(ISERROR('Model inputs'!L32&lt;1),'Model inputs'!L32&lt;1,IF('Model inputs'!L32="","",'Model inputs'!L32&lt;1))="",FALSE,IF(ISERROR('Model inputs'!L32&lt;1),'Model inputs'!L32&lt;1,IF('Model inputs'!L32="","",'Model inputs'!L32&lt;1))),0,ROUND(IF(IF(IF(ISERROR('Model inputs'!L32&lt;=3),'Model inputs'!L32&lt;=3,IF('Model inputs'!L32="","",'Model inputs'!L32&lt;=3))="",FALSE,IF(ISERROR('Model inputs'!L32&lt;=3),'Model inputs'!L32&lt;=3,IF('Model inputs'!L32="","",'Model inputs'!L32&lt;=3))),IF('Model inputs'!B53="","",'Model inputs'!B53),IF(IF(IF(ISERROR('Model inputs'!L32&lt;=6),'Model inputs'!L32&lt;=6,IF('Model inputs'!L32="","",'Model inputs'!L32&lt;=6))="",FALSE,IF(ISERROR('Model inputs'!L32&lt;=6),'Model inputs'!L32&lt;=6,IF('Model inputs'!L32="","",'Model inputs'!L32&lt;=6))),'Model inputs'!B53+('Model inputs'!B56-'Model inputs'!B53)*('Model inputs'!L32-3)/3,IF(IF(IF(ISERROR('Model inputs'!L32&lt;=12),'Model inputs'!L32&lt;=12,IF('Model inputs'!L32="","",'Model inputs'!L32&lt;=12))="",FALSE,IF(ISERROR('Model inputs'!L32&lt;=12),'Model inputs'!L32&lt;=12,IF('Model inputs'!L32="","",'Model inputs'!L32&lt;=12))),'Model inputs'!B56+('Model inputs'!B47-'Model inputs'!B56)*('Model inputs'!L32-6)/6,'Model inputs'!B47+('Model inputs'!B50-'Model inputs'!B47)*('Model inputs'!L32-12)/12))),0))</f>
        <v>2</v>
      </c>
      <c r="M18" s="9">
        <f>IF(IF(IF(ISERROR('Model inputs'!M32&lt;1),'Model inputs'!M32&lt;1,IF('Model inputs'!M32="","",'Model inputs'!M32&lt;1))="",FALSE,IF(ISERROR('Model inputs'!M32&lt;1),'Model inputs'!M32&lt;1,IF('Model inputs'!M32="","",'Model inputs'!M32&lt;1))),0,ROUND(IF(IF(IF(ISERROR('Model inputs'!M32&lt;=3),'Model inputs'!M32&lt;=3,IF('Model inputs'!M32="","",'Model inputs'!M32&lt;=3))="",FALSE,IF(ISERROR('Model inputs'!M32&lt;=3),'Model inputs'!M32&lt;=3,IF('Model inputs'!M32="","",'Model inputs'!M32&lt;=3))),IF('Model inputs'!B53="","",'Model inputs'!B53),IF(IF(IF(ISERROR('Model inputs'!M32&lt;=6),'Model inputs'!M32&lt;=6,IF('Model inputs'!M32="","",'Model inputs'!M32&lt;=6))="",FALSE,IF(ISERROR('Model inputs'!M32&lt;=6),'Model inputs'!M32&lt;=6,IF('Model inputs'!M32="","",'Model inputs'!M32&lt;=6))),'Model inputs'!B53+('Model inputs'!B56-'Model inputs'!B53)*('Model inputs'!M32-3)/3,IF(IF(IF(ISERROR('Model inputs'!M32&lt;=12),'Model inputs'!M32&lt;=12,IF('Model inputs'!M32="","",'Model inputs'!M32&lt;=12))="",FALSE,IF(ISERROR('Model inputs'!M32&lt;=12),'Model inputs'!M32&lt;=12,IF('Model inputs'!M32="","",'Model inputs'!M32&lt;=12))),'Model inputs'!B56+('Model inputs'!B47-'Model inputs'!B56)*('Model inputs'!M32-6)/6,'Model inputs'!B47+('Model inputs'!B50-'Model inputs'!B47)*('Model inputs'!M32-12)/12))),0))</f>
        <v>2</v>
      </c>
      <c r="N18" s="9">
        <f>IF(IF(IF(ISERROR('Model inputs'!N32&lt;1),'Model inputs'!N32&lt;1,IF('Model inputs'!N32="","",'Model inputs'!N32&lt;1))="",FALSE,IF(ISERROR('Model inputs'!N32&lt;1),'Model inputs'!N32&lt;1,IF('Model inputs'!N32="","",'Model inputs'!N32&lt;1))),0,ROUND(IF(IF(IF(ISERROR('Model inputs'!N32&lt;=3),'Model inputs'!N32&lt;=3,IF('Model inputs'!N32="","",'Model inputs'!N32&lt;=3))="",FALSE,IF(ISERROR('Model inputs'!N32&lt;=3),'Model inputs'!N32&lt;=3,IF('Model inputs'!N32="","",'Model inputs'!N32&lt;=3))),IF('Model inputs'!B53="","",'Model inputs'!B53),IF(IF(IF(ISERROR('Model inputs'!N32&lt;=6),'Model inputs'!N32&lt;=6,IF('Model inputs'!N32="","",'Model inputs'!N32&lt;=6))="",FALSE,IF(ISERROR('Model inputs'!N32&lt;=6),'Model inputs'!N32&lt;=6,IF('Model inputs'!N32="","",'Model inputs'!N32&lt;=6))),'Model inputs'!B53+('Model inputs'!B56-'Model inputs'!B53)*('Model inputs'!N32-3)/3,IF(IF(IF(ISERROR('Model inputs'!N32&lt;=12),'Model inputs'!N32&lt;=12,IF('Model inputs'!N32="","",'Model inputs'!N32&lt;=12))="",FALSE,IF(ISERROR('Model inputs'!N32&lt;=12),'Model inputs'!N32&lt;=12,IF('Model inputs'!N32="","",'Model inputs'!N32&lt;=12))),'Model inputs'!B56+('Model inputs'!B47-'Model inputs'!B56)*('Model inputs'!N32-6)/6,'Model inputs'!B47+('Model inputs'!B50-'Model inputs'!B47)*('Model inputs'!N32-12)/12))),0))</f>
        <v>2</v>
      </c>
      <c r="O18" s="9">
        <f>IF(IF(IF(ISERROR('Model inputs'!O32&lt;1),'Model inputs'!O32&lt;1,IF('Model inputs'!O32="","",'Model inputs'!O32&lt;1))="",FALSE,IF(ISERROR('Model inputs'!O32&lt;1),'Model inputs'!O32&lt;1,IF('Model inputs'!O32="","",'Model inputs'!O32&lt;1))),0,ROUND(IF(IF(IF(ISERROR('Model inputs'!O32&lt;=3),'Model inputs'!O32&lt;=3,IF('Model inputs'!O32="","",'Model inputs'!O32&lt;=3))="",FALSE,IF(ISERROR('Model inputs'!O32&lt;=3),'Model inputs'!O32&lt;=3,IF('Model inputs'!O32="","",'Model inputs'!O32&lt;=3))),IF('Model inputs'!B53="","",'Model inputs'!B53),IF(IF(IF(ISERROR('Model inputs'!O32&lt;=6),'Model inputs'!O32&lt;=6,IF('Model inputs'!O32="","",'Model inputs'!O32&lt;=6))="",FALSE,IF(ISERROR('Model inputs'!O32&lt;=6),'Model inputs'!O32&lt;=6,IF('Model inputs'!O32="","",'Model inputs'!O32&lt;=6))),'Model inputs'!B53+('Model inputs'!B56-'Model inputs'!B53)*('Model inputs'!O32-3)/3,IF(IF(IF(ISERROR('Model inputs'!O32&lt;=12),'Model inputs'!O32&lt;=12,IF('Model inputs'!O32="","",'Model inputs'!O32&lt;=12))="",FALSE,IF(ISERROR('Model inputs'!O32&lt;=12),'Model inputs'!O32&lt;=12,IF('Model inputs'!O32="","",'Model inputs'!O32&lt;=12))),'Model inputs'!B56+('Model inputs'!B47-'Model inputs'!B56)*('Model inputs'!O32-6)/6,'Model inputs'!B47+('Model inputs'!B50-'Model inputs'!B47)*('Model inputs'!O32-12)/12))),0))</f>
        <v>3</v>
      </c>
      <c r="P18" s="9">
        <f>IF(IF(IF(ISERROR('Model inputs'!P32&lt;1),'Model inputs'!P32&lt;1,IF('Model inputs'!P32="","",'Model inputs'!P32&lt;1))="",FALSE,IF(ISERROR('Model inputs'!P32&lt;1),'Model inputs'!P32&lt;1,IF('Model inputs'!P32="","",'Model inputs'!P32&lt;1))),0,ROUND(IF(IF(IF(ISERROR('Model inputs'!P32&lt;=3),'Model inputs'!P32&lt;=3,IF('Model inputs'!P32="","",'Model inputs'!P32&lt;=3))="",FALSE,IF(ISERROR('Model inputs'!P32&lt;=3),'Model inputs'!P32&lt;=3,IF('Model inputs'!P32="","",'Model inputs'!P32&lt;=3))),IF('Model inputs'!B53="","",'Model inputs'!B53),IF(IF(IF(ISERROR('Model inputs'!P32&lt;=6),'Model inputs'!P32&lt;=6,IF('Model inputs'!P32="","",'Model inputs'!P32&lt;=6))="",FALSE,IF(ISERROR('Model inputs'!P32&lt;=6),'Model inputs'!P32&lt;=6,IF('Model inputs'!P32="","",'Model inputs'!P32&lt;=6))),'Model inputs'!B53+('Model inputs'!B56-'Model inputs'!B53)*('Model inputs'!P32-3)/3,IF(IF(IF(ISERROR('Model inputs'!P32&lt;=12),'Model inputs'!P32&lt;=12,IF('Model inputs'!P32="","",'Model inputs'!P32&lt;=12))="",FALSE,IF(ISERROR('Model inputs'!P32&lt;=12),'Model inputs'!P32&lt;=12,IF('Model inputs'!P32="","",'Model inputs'!P32&lt;=12))),'Model inputs'!B56+('Model inputs'!B47-'Model inputs'!B56)*('Model inputs'!P32-6)/6,'Model inputs'!B47+('Model inputs'!B50-'Model inputs'!B47)*('Model inputs'!P32-12)/12))),0))</f>
        <v>3</v>
      </c>
      <c r="Q18" s="9">
        <f>IF(IF(IF(ISERROR('Model inputs'!Q32&lt;1),'Model inputs'!Q32&lt;1,IF('Model inputs'!Q32="","",'Model inputs'!Q32&lt;1))="",FALSE,IF(ISERROR('Model inputs'!Q32&lt;1),'Model inputs'!Q32&lt;1,IF('Model inputs'!Q32="","",'Model inputs'!Q32&lt;1))),0,ROUND(IF(IF(IF(ISERROR('Model inputs'!Q32&lt;=3),'Model inputs'!Q32&lt;=3,IF('Model inputs'!Q32="","",'Model inputs'!Q32&lt;=3))="",FALSE,IF(ISERROR('Model inputs'!Q32&lt;=3),'Model inputs'!Q32&lt;=3,IF('Model inputs'!Q32="","",'Model inputs'!Q32&lt;=3))),IF('Model inputs'!B53="","",'Model inputs'!B53),IF(IF(IF(ISERROR('Model inputs'!Q32&lt;=6),'Model inputs'!Q32&lt;=6,IF('Model inputs'!Q32="","",'Model inputs'!Q32&lt;=6))="",FALSE,IF(ISERROR('Model inputs'!Q32&lt;=6),'Model inputs'!Q32&lt;=6,IF('Model inputs'!Q32="","",'Model inputs'!Q32&lt;=6))),'Model inputs'!B53+('Model inputs'!B56-'Model inputs'!B53)*('Model inputs'!Q32-3)/3,IF(IF(IF(ISERROR('Model inputs'!Q32&lt;=12),'Model inputs'!Q32&lt;=12,IF('Model inputs'!Q32="","",'Model inputs'!Q32&lt;=12))="",FALSE,IF(ISERROR('Model inputs'!Q32&lt;=12),'Model inputs'!Q32&lt;=12,IF('Model inputs'!Q32="","",'Model inputs'!Q32&lt;=12))),'Model inputs'!B56+('Model inputs'!B47-'Model inputs'!B56)*('Model inputs'!Q32-6)/6,'Model inputs'!B47+('Model inputs'!B50-'Model inputs'!B47)*('Model inputs'!Q32-12)/12))),0))</f>
        <v>4</v>
      </c>
      <c r="R18" s="9">
        <f>IF(IF(IF(ISERROR('Model inputs'!R32&lt;1),'Model inputs'!R32&lt;1,IF('Model inputs'!R32="","",'Model inputs'!R32&lt;1))="",FALSE,IF(ISERROR('Model inputs'!R32&lt;1),'Model inputs'!R32&lt;1,IF('Model inputs'!R32="","",'Model inputs'!R32&lt;1))),0,ROUND(IF(IF(IF(ISERROR('Model inputs'!R32&lt;=3),'Model inputs'!R32&lt;=3,IF('Model inputs'!R32="","",'Model inputs'!R32&lt;=3))="",FALSE,IF(ISERROR('Model inputs'!R32&lt;=3),'Model inputs'!R32&lt;=3,IF('Model inputs'!R32="","",'Model inputs'!R32&lt;=3))),IF('Model inputs'!B53="","",'Model inputs'!B53),IF(IF(IF(ISERROR('Model inputs'!R32&lt;=6),'Model inputs'!R32&lt;=6,IF('Model inputs'!R32="","",'Model inputs'!R32&lt;=6))="",FALSE,IF(ISERROR('Model inputs'!R32&lt;=6),'Model inputs'!R32&lt;=6,IF('Model inputs'!R32="","",'Model inputs'!R32&lt;=6))),'Model inputs'!B53+('Model inputs'!B56-'Model inputs'!B53)*('Model inputs'!R32-3)/3,IF(IF(IF(ISERROR('Model inputs'!R32&lt;=12),'Model inputs'!R32&lt;=12,IF('Model inputs'!R32="","",'Model inputs'!R32&lt;=12))="",FALSE,IF(ISERROR('Model inputs'!R32&lt;=12),'Model inputs'!R32&lt;=12,IF('Model inputs'!R32="","",'Model inputs'!R32&lt;=12))),'Model inputs'!B56+('Model inputs'!B47-'Model inputs'!B56)*('Model inputs'!R32-6)/6,'Model inputs'!B47+('Model inputs'!B50-'Model inputs'!B47)*('Model inputs'!R32-12)/12))),0))</f>
        <v>4</v>
      </c>
      <c r="S18" s="9">
        <f>IF(IF(IF(ISERROR('Model inputs'!S32&lt;1),'Model inputs'!S32&lt;1,IF('Model inputs'!S32="","",'Model inputs'!S32&lt;1))="",FALSE,IF(ISERROR('Model inputs'!S32&lt;1),'Model inputs'!S32&lt;1,IF('Model inputs'!S32="","",'Model inputs'!S32&lt;1))),0,ROUND(IF(IF(IF(ISERROR('Model inputs'!S32&lt;=3),'Model inputs'!S32&lt;=3,IF('Model inputs'!S32="","",'Model inputs'!S32&lt;=3))="",FALSE,IF(ISERROR('Model inputs'!S32&lt;=3),'Model inputs'!S32&lt;=3,IF('Model inputs'!S32="","",'Model inputs'!S32&lt;=3))),IF('Model inputs'!B53="","",'Model inputs'!B53),IF(IF(IF(ISERROR('Model inputs'!S32&lt;=6),'Model inputs'!S32&lt;=6,IF('Model inputs'!S32="","",'Model inputs'!S32&lt;=6))="",FALSE,IF(ISERROR('Model inputs'!S32&lt;=6),'Model inputs'!S32&lt;=6,IF('Model inputs'!S32="","",'Model inputs'!S32&lt;=6))),'Model inputs'!B53+('Model inputs'!B56-'Model inputs'!B53)*('Model inputs'!S32-3)/3,IF(IF(IF(ISERROR('Model inputs'!S32&lt;=12),'Model inputs'!S32&lt;=12,IF('Model inputs'!S32="","",'Model inputs'!S32&lt;=12))="",FALSE,IF(ISERROR('Model inputs'!S32&lt;=12),'Model inputs'!S32&lt;=12,IF('Model inputs'!S32="","",'Model inputs'!S32&lt;=12))),'Model inputs'!B56+('Model inputs'!B47-'Model inputs'!B56)*('Model inputs'!S32-6)/6,'Model inputs'!B47+('Model inputs'!B50-'Model inputs'!B47)*('Model inputs'!S32-12)/12))),0))</f>
        <v>5</v>
      </c>
      <c r="T18" s="9">
        <f>IF(IF(IF(ISERROR('Model inputs'!T32&lt;1),'Model inputs'!T32&lt;1,IF('Model inputs'!T32="","",'Model inputs'!T32&lt;1))="",FALSE,IF(ISERROR('Model inputs'!T32&lt;1),'Model inputs'!T32&lt;1,IF('Model inputs'!T32="","",'Model inputs'!T32&lt;1))),0,ROUND(IF(IF(IF(ISERROR('Model inputs'!T32&lt;=3),'Model inputs'!T32&lt;=3,IF('Model inputs'!T32="","",'Model inputs'!T32&lt;=3))="",FALSE,IF(ISERROR('Model inputs'!T32&lt;=3),'Model inputs'!T32&lt;=3,IF('Model inputs'!T32="","",'Model inputs'!T32&lt;=3))),IF('Model inputs'!B53="","",'Model inputs'!B53),IF(IF(IF(ISERROR('Model inputs'!T32&lt;=6),'Model inputs'!T32&lt;=6,IF('Model inputs'!T32="","",'Model inputs'!T32&lt;=6))="",FALSE,IF(ISERROR('Model inputs'!T32&lt;=6),'Model inputs'!T32&lt;=6,IF('Model inputs'!T32="","",'Model inputs'!T32&lt;=6))),'Model inputs'!B53+('Model inputs'!B56-'Model inputs'!B53)*('Model inputs'!T32-3)/3,IF(IF(IF(ISERROR('Model inputs'!T32&lt;=12),'Model inputs'!T32&lt;=12,IF('Model inputs'!T32="","",'Model inputs'!T32&lt;=12))="",FALSE,IF(ISERROR('Model inputs'!T32&lt;=12),'Model inputs'!T32&lt;=12,IF('Model inputs'!T32="","",'Model inputs'!T32&lt;=12))),'Model inputs'!B56+('Model inputs'!B47-'Model inputs'!B56)*('Model inputs'!T32-6)/6,'Model inputs'!B47+('Model inputs'!B50-'Model inputs'!B47)*('Model inputs'!T32-12)/12))),0))</f>
        <v>5</v>
      </c>
      <c r="U18" s="9">
        <f>IF(IF(IF(ISERROR('Model inputs'!U32&lt;1),'Model inputs'!U32&lt;1,IF('Model inputs'!U32="","",'Model inputs'!U32&lt;1))="",FALSE,IF(ISERROR('Model inputs'!U32&lt;1),'Model inputs'!U32&lt;1,IF('Model inputs'!U32="","",'Model inputs'!U32&lt;1))),0,ROUND(IF(IF(IF(ISERROR('Model inputs'!U32&lt;=3),'Model inputs'!U32&lt;=3,IF('Model inputs'!U32="","",'Model inputs'!U32&lt;=3))="",FALSE,IF(ISERROR('Model inputs'!U32&lt;=3),'Model inputs'!U32&lt;=3,IF('Model inputs'!U32="","",'Model inputs'!U32&lt;=3))),IF('Model inputs'!B53="","",'Model inputs'!B53),IF(IF(IF(ISERROR('Model inputs'!U32&lt;=6),'Model inputs'!U32&lt;=6,IF('Model inputs'!U32="","",'Model inputs'!U32&lt;=6))="",FALSE,IF(ISERROR('Model inputs'!U32&lt;=6),'Model inputs'!U32&lt;=6,IF('Model inputs'!U32="","",'Model inputs'!U32&lt;=6))),'Model inputs'!B53+('Model inputs'!B56-'Model inputs'!B53)*('Model inputs'!U32-3)/3,IF(IF(IF(ISERROR('Model inputs'!U32&lt;=12),'Model inputs'!U32&lt;=12,IF('Model inputs'!U32="","",'Model inputs'!U32&lt;=12))="",FALSE,IF(ISERROR('Model inputs'!U32&lt;=12),'Model inputs'!U32&lt;=12,IF('Model inputs'!U32="","",'Model inputs'!U32&lt;=12))),'Model inputs'!B56+('Model inputs'!B47-'Model inputs'!B56)*('Model inputs'!U32-6)/6,'Model inputs'!B47+('Model inputs'!B50-'Model inputs'!B47)*('Model inputs'!U32-12)/12))),0))</f>
        <v>6</v>
      </c>
      <c r="V18" s="9">
        <f>IF(IF(IF(ISERROR('Model inputs'!V32&lt;1),'Model inputs'!V32&lt;1,IF('Model inputs'!V32="","",'Model inputs'!V32&lt;1))="",FALSE,IF(ISERROR('Model inputs'!V32&lt;1),'Model inputs'!V32&lt;1,IF('Model inputs'!V32="","",'Model inputs'!V32&lt;1))),0,ROUND(IF(IF(IF(ISERROR('Model inputs'!V32&lt;=3),'Model inputs'!V32&lt;=3,IF('Model inputs'!V32="","",'Model inputs'!V32&lt;=3))="",FALSE,IF(ISERROR('Model inputs'!V32&lt;=3),'Model inputs'!V32&lt;=3,IF('Model inputs'!V32="","",'Model inputs'!V32&lt;=3))),IF('Model inputs'!B53="","",'Model inputs'!B53),IF(IF(IF(ISERROR('Model inputs'!V32&lt;=6),'Model inputs'!V32&lt;=6,IF('Model inputs'!V32="","",'Model inputs'!V32&lt;=6))="",FALSE,IF(ISERROR('Model inputs'!V32&lt;=6),'Model inputs'!V32&lt;=6,IF('Model inputs'!V32="","",'Model inputs'!V32&lt;=6))),'Model inputs'!B53+('Model inputs'!B56-'Model inputs'!B53)*('Model inputs'!V32-3)/3,IF(IF(IF(ISERROR('Model inputs'!V32&lt;=12),'Model inputs'!V32&lt;=12,IF('Model inputs'!V32="","",'Model inputs'!V32&lt;=12))="",FALSE,IF(ISERROR('Model inputs'!V32&lt;=12),'Model inputs'!V32&lt;=12,IF('Model inputs'!V32="","",'Model inputs'!V32&lt;=12))),'Model inputs'!B56+('Model inputs'!B47-'Model inputs'!B56)*('Model inputs'!V32-6)/6,'Model inputs'!B47+('Model inputs'!B50-'Model inputs'!B47)*('Model inputs'!V32-12)/12))),0))</f>
        <v>7</v>
      </c>
      <c r="W18" s="9">
        <f>IF(IF(IF(ISERROR('Model inputs'!W32&lt;1),'Model inputs'!W32&lt;1,IF('Model inputs'!W32="","",'Model inputs'!W32&lt;1))="",FALSE,IF(ISERROR('Model inputs'!W32&lt;1),'Model inputs'!W32&lt;1,IF('Model inputs'!W32="","",'Model inputs'!W32&lt;1))),0,ROUND(IF(IF(IF(ISERROR('Model inputs'!W32&lt;=3),'Model inputs'!W32&lt;=3,IF('Model inputs'!W32="","",'Model inputs'!W32&lt;=3))="",FALSE,IF(ISERROR('Model inputs'!W32&lt;=3),'Model inputs'!W32&lt;=3,IF('Model inputs'!W32="","",'Model inputs'!W32&lt;=3))),IF('Model inputs'!B53="","",'Model inputs'!B53),IF(IF(IF(ISERROR('Model inputs'!W32&lt;=6),'Model inputs'!W32&lt;=6,IF('Model inputs'!W32="","",'Model inputs'!W32&lt;=6))="",FALSE,IF(ISERROR('Model inputs'!W32&lt;=6),'Model inputs'!W32&lt;=6,IF('Model inputs'!W32="","",'Model inputs'!W32&lt;=6))),'Model inputs'!B53+('Model inputs'!B56-'Model inputs'!B53)*('Model inputs'!W32-3)/3,IF(IF(IF(ISERROR('Model inputs'!W32&lt;=12),'Model inputs'!W32&lt;=12,IF('Model inputs'!W32="","",'Model inputs'!W32&lt;=12))="",FALSE,IF(ISERROR('Model inputs'!W32&lt;=12),'Model inputs'!W32&lt;=12,IF('Model inputs'!W32="","",'Model inputs'!W32&lt;=12))),'Model inputs'!B56+('Model inputs'!B47-'Model inputs'!B56)*('Model inputs'!W32-6)/6,'Model inputs'!B47+('Model inputs'!B50-'Model inputs'!B47)*('Model inputs'!W32-12)/12))),0))</f>
        <v>7</v>
      </c>
      <c r="X18" s="9">
        <f>IF(IF(IF(ISERROR('Model inputs'!X32&lt;1),'Model inputs'!X32&lt;1,IF('Model inputs'!X32="","",'Model inputs'!X32&lt;1))="",FALSE,IF(ISERROR('Model inputs'!X32&lt;1),'Model inputs'!X32&lt;1,IF('Model inputs'!X32="","",'Model inputs'!X32&lt;1))),0,ROUND(IF(IF(IF(ISERROR('Model inputs'!X32&lt;=3),'Model inputs'!X32&lt;=3,IF('Model inputs'!X32="","",'Model inputs'!X32&lt;=3))="",FALSE,IF(ISERROR('Model inputs'!X32&lt;=3),'Model inputs'!X32&lt;=3,IF('Model inputs'!X32="","",'Model inputs'!X32&lt;=3))),IF('Model inputs'!B53="","",'Model inputs'!B53),IF(IF(IF(ISERROR('Model inputs'!X32&lt;=6),'Model inputs'!X32&lt;=6,IF('Model inputs'!X32="","",'Model inputs'!X32&lt;=6))="",FALSE,IF(ISERROR('Model inputs'!X32&lt;=6),'Model inputs'!X32&lt;=6,IF('Model inputs'!X32="","",'Model inputs'!X32&lt;=6))),'Model inputs'!B53+('Model inputs'!B56-'Model inputs'!B53)*('Model inputs'!X32-3)/3,IF(IF(IF(ISERROR('Model inputs'!X32&lt;=12),'Model inputs'!X32&lt;=12,IF('Model inputs'!X32="","",'Model inputs'!X32&lt;=12))="",FALSE,IF(ISERROR('Model inputs'!X32&lt;=12),'Model inputs'!X32&lt;=12,IF('Model inputs'!X32="","",'Model inputs'!X32&lt;=12))),'Model inputs'!B56+('Model inputs'!B47-'Model inputs'!B56)*('Model inputs'!X32-6)/6,'Model inputs'!B47+('Model inputs'!B50-'Model inputs'!B47)*('Model inputs'!X32-12)/12))),0))</f>
        <v>8</v>
      </c>
      <c r="Y18" s="9">
        <f>IF(IF(IF(ISERROR('Model inputs'!Y32&lt;1),'Model inputs'!Y32&lt;1,IF('Model inputs'!Y32="","",'Model inputs'!Y32&lt;1))="",FALSE,IF(ISERROR('Model inputs'!Y32&lt;1),'Model inputs'!Y32&lt;1,IF('Model inputs'!Y32="","",'Model inputs'!Y32&lt;1))),0,ROUND(IF(IF(IF(ISERROR('Model inputs'!Y32&lt;=3),'Model inputs'!Y32&lt;=3,IF('Model inputs'!Y32="","",'Model inputs'!Y32&lt;=3))="",FALSE,IF(ISERROR('Model inputs'!Y32&lt;=3),'Model inputs'!Y32&lt;=3,IF('Model inputs'!Y32="","",'Model inputs'!Y32&lt;=3))),IF('Model inputs'!B53="","",'Model inputs'!B53),IF(IF(IF(ISERROR('Model inputs'!Y32&lt;=6),'Model inputs'!Y32&lt;=6,IF('Model inputs'!Y32="","",'Model inputs'!Y32&lt;=6))="",FALSE,IF(ISERROR('Model inputs'!Y32&lt;=6),'Model inputs'!Y32&lt;=6,IF('Model inputs'!Y32="","",'Model inputs'!Y32&lt;=6))),'Model inputs'!B53+('Model inputs'!B56-'Model inputs'!B53)*('Model inputs'!Y32-3)/3,IF(IF(IF(ISERROR('Model inputs'!Y32&lt;=12),'Model inputs'!Y32&lt;=12,IF('Model inputs'!Y32="","",'Model inputs'!Y32&lt;=12))="",FALSE,IF(ISERROR('Model inputs'!Y32&lt;=12),'Model inputs'!Y32&lt;=12,IF('Model inputs'!Y32="","",'Model inputs'!Y32&lt;=12))),'Model inputs'!B56+('Model inputs'!B47-'Model inputs'!B56)*('Model inputs'!Y32-6)/6,'Model inputs'!B47+('Model inputs'!B50-'Model inputs'!B47)*('Model inputs'!Y32-12)/12))),0))</f>
        <v>8</v>
      </c>
      <c r="Z18" s="9">
        <f>IF(IF(IF(ISERROR('Model inputs'!Z32&lt;1),'Model inputs'!Z32&lt;1,IF('Model inputs'!Z32="","",'Model inputs'!Z32&lt;1))="",FALSE,IF(ISERROR('Model inputs'!Z32&lt;1),'Model inputs'!Z32&lt;1,IF('Model inputs'!Z32="","",'Model inputs'!Z32&lt;1))),0,ROUND(IF(IF(IF(ISERROR('Model inputs'!Z32&lt;=3),'Model inputs'!Z32&lt;=3,IF('Model inputs'!Z32="","",'Model inputs'!Z32&lt;=3))="",FALSE,IF(ISERROR('Model inputs'!Z32&lt;=3),'Model inputs'!Z32&lt;=3,IF('Model inputs'!Z32="","",'Model inputs'!Z32&lt;=3))),IF('Model inputs'!B53="","",'Model inputs'!B53),IF(IF(IF(ISERROR('Model inputs'!Z32&lt;=6),'Model inputs'!Z32&lt;=6,IF('Model inputs'!Z32="","",'Model inputs'!Z32&lt;=6))="",FALSE,IF(ISERROR('Model inputs'!Z32&lt;=6),'Model inputs'!Z32&lt;=6,IF('Model inputs'!Z32="","",'Model inputs'!Z32&lt;=6))),'Model inputs'!B53+('Model inputs'!B56-'Model inputs'!B53)*('Model inputs'!Z32-3)/3,IF(IF(IF(ISERROR('Model inputs'!Z32&lt;=12),'Model inputs'!Z32&lt;=12,IF('Model inputs'!Z32="","",'Model inputs'!Z32&lt;=12))="",FALSE,IF(ISERROR('Model inputs'!Z32&lt;=12),'Model inputs'!Z32&lt;=12,IF('Model inputs'!Z32="","",'Model inputs'!Z32&lt;=12))),'Model inputs'!B56+('Model inputs'!B47-'Model inputs'!B56)*('Model inputs'!Z32-6)/6,'Model inputs'!B47+('Model inputs'!B50-'Model inputs'!B47)*('Model inputs'!Z32-12)/12))),0))</f>
        <v>9</v>
      </c>
      <c r="AA18" s="9">
        <f>IF(IF(IF(ISERROR('Model inputs'!AA32&lt;1),'Model inputs'!AA32&lt;1,IF('Model inputs'!AA32="","",'Model inputs'!AA32&lt;1))="",FALSE,IF(ISERROR('Model inputs'!AA32&lt;1),'Model inputs'!AA32&lt;1,IF('Model inputs'!AA32="","",'Model inputs'!AA32&lt;1))),0,ROUND(IF(IF(IF(ISERROR('Model inputs'!AA32&lt;=3),'Model inputs'!AA32&lt;=3,IF('Model inputs'!AA32="","",'Model inputs'!AA32&lt;=3))="",FALSE,IF(ISERROR('Model inputs'!AA32&lt;=3),'Model inputs'!AA32&lt;=3,IF('Model inputs'!AA32="","",'Model inputs'!AA32&lt;=3))),IF('Model inputs'!B53="","",'Model inputs'!B53),IF(IF(IF(ISERROR('Model inputs'!AA32&lt;=6),'Model inputs'!AA32&lt;=6,IF('Model inputs'!AA32="","",'Model inputs'!AA32&lt;=6))="",FALSE,IF(ISERROR('Model inputs'!AA32&lt;=6),'Model inputs'!AA32&lt;=6,IF('Model inputs'!AA32="","",'Model inputs'!AA32&lt;=6))),'Model inputs'!B53+('Model inputs'!B56-'Model inputs'!B53)*('Model inputs'!AA32-3)/3,IF(IF(IF(ISERROR('Model inputs'!AA32&lt;=12),'Model inputs'!AA32&lt;=12,IF('Model inputs'!AA32="","",'Model inputs'!AA32&lt;=12))="",FALSE,IF(ISERROR('Model inputs'!AA32&lt;=12),'Model inputs'!AA32&lt;=12,IF('Model inputs'!AA32="","",'Model inputs'!AA32&lt;=12))),'Model inputs'!B56+('Model inputs'!B47-'Model inputs'!B56)*('Model inputs'!AA32-6)/6,'Model inputs'!B47+('Model inputs'!B50-'Model inputs'!B47)*('Model inputs'!AA32-12)/12))),0))</f>
        <v>9</v>
      </c>
      <c r="AB18" s="9">
        <f>IF(IF(IF(ISERROR('Model inputs'!AB32&lt;1),'Model inputs'!AB32&lt;1,IF('Model inputs'!AB32="","",'Model inputs'!AB32&lt;1))="",FALSE,IF(ISERROR('Model inputs'!AB32&lt;1),'Model inputs'!AB32&lt;1,IF('Model inputs'!AB32="","",'Model inputs'!AB32&lt;1))),0,ROUND(IF(IF(IF(ISERROR('Model inputs'!AB32&lt;=3),'Model inputs'!AB32&lt;=3,IF('Model inputs'!AB32="","",'Model inputs'!AB32&lt;=3))="",FALSE,IF(ISERROR('Model inputs'!AB32&lt;=3),'Model inputs'!AB32&lt;=3,IF('Model inputs'!AB32="","",'Model inputs'!AB32&lt;=3))),IF('Model inputs'!B53="","",'Model inputs'!B53),IF(IF(IF(ISERROR('Model inputs'!AB32&lt;=6),'Model inputs'!AB32&lt;=6,IF('Model inputs'!AB32="","",'Model inputs'!AB32&lt;=6))="",FALSE,IF(ISERROR('Model inputs'!AB32&lt;=6),'Model inputs'!AB32&lt;=6,IF('Model inputs'!AB32="","",'Model inputs'!AB32&lt;=6))),'Model inputs'!B53+('Model inputs'!B56-'Model inputs'!B53)*('Model inputs'!AB32-3)/3,IF(IF(IF(ISERROR('Model inputs'!AB32&lt;=12),'Model inputs'!AB32&lt;=12,IF('Model inputs'!AB32="","",'Model inputs'!AB32&lt;=12))="",FALSE,IF(ISERROR('Model inputs'!AB32&lt;=12),'Model inputs'!AB32&lt;=12,IF('Model inputs'!AB32="","",'Model inputs'!AB32&lt;=12))),'Model inputs'!B56+('Model inputs'!B47-'Model inputs'!B56)*('Model inputs'!AB32-6)/6,'Model inputs'!B47+('Model inputs'!B50-'Model inputs'!B47)*('Model inputs'!AB32-12)/12))),0))</f>
        <v>10</v>
      </c>
    </row>
    <row r="19">
      <c r="A19" t="inlineStr" s="18">
        <is>
          <t xml:space="preserve">Ending cash</t>
        </is>
      </c>
      <c r="C19" s="12">
        <v>0</v>
      </c>
      <c r="D19" s="12">
        <f>IF(IF(IF(IF(ISERROR('Model inputs'!D32=1),'Model inputs'!D32=1,IF('Model inputs'!D32="","",'Model inputs'!D32=1))="",FALSE,IF(ISERROR('Model inputs'!D32=1),'Model inputs'!D32=1,IF('Model inputs'!D32="","",'Model inputs'!D32=1))),IF('Model inputs'!B42="","",'Model inputs'!B42),IF('Model inputs'!C19="","",'Model inputs'!C19))="",0,IF(IF(IF(ISERROR('Model inputs'!D32=1),'Model inputs'!D32=1,IF('Model inputs'!D32="","",'Model inputs'!D32=1))="",FALSE,IF(ISERROR('Model inputs'!D32=1),'Model inputs'!D32=1,IF('Model inputs'!D32="","",'Model inputs'!D32=1))),IF('Model inputs'!B42="","",'Model inputs'!B42),IF('Model inputs'!C19="","",'Model inputs'!C19)))+'Model inputs'!D33</f>
        <v>0</v>
      </c>
      <c r="E19" s="12">
        <f>IF(IF(IF(IF(ISERROR('Model inputs'!E32=1),'Model inputs'!E32=1,IF('Model inputs'!E32="","",'Model inputs'!E32=1))="",FALSE,IF(ISERROR('Model inputs'!E32=1),'Model inputs'!E32=1,IF('Model inputs'!E32="","",'Model inputs'!E32=1))),IF('Model inputs'!B42="","",'Model inputs'!B42),IF('Model inputs'!D19="","",'Model inputs'!D19))="",0,IF(IF(IF(ISERROR('Model inputs'!E32=1),'Model inputs'!E32=1,IF('Model inputs'!E32="","",'Model inputs'!E32=1))="",FALSE,IF(ISERROR('Model inputs'!E32=1),'Model inputs'!E32=1,IF('Model inputs'!E32="","",'Model inputs'!E32=1))),IF('Model inputs'!B42="","",'Model inputs'!B42),IF('Model inputs'!D19="","",'Model inputs'!D19)))+'Model inputs'!E33</f>
        <v>22884.8</v>
      </c>
      <c r="F19" s="12">
        <f>IF(IF(IF(IF(ISERROR('Model inputs'!F32=1),'Model inputs'!F32=1,IF('Model inputs'!F32="","",'Model inputs'!F32=1))="",FALSE,IF(ISERROR('Model inputs'!F32=1),'Model inputs'!F32=1,IF('Model inputs'!F32="","",'Model inputs'!F32=1))),IF('Model inputs'!B42="","",'Model inputs'!B42),IF('Model inputs'!E19="","",'Model inputs'!E19))="",0,IF(IF(IF(ISERROR('Model inputs'!F32=1),'Model inputs'!F32=1,IF('Model inputs'!F32="","",'Model inputs'!F32=1))="",FALSE,IF(ISERROR('Model inputs'!F32=1),'Model inputs'!F32=1,IF('Model inputs'!F32="","",'Model inputs'!F32=1))),IF('Model inputs'!B42="","",'Model inputs'!B42),IF('Model inputs'!E19="","",'Model inputs'!E19)))+'Model inputs'!F33</f>
        <v>20769.6</v>
      </c>
      <c r="G19" s="12">
        <f>IF(IF(IF(IF(ISERROR('Model inputs'!G32=1),'Model inputs'!G32=1,IF('Model inputs'!G32="","",'Model inputs'!G32=1))="",FALSE,IF(ISERROR('Model inputs'!G32=1),'Model inputs'!G32=1,IF('Model inputs'!G32="","",'Model inputs'!G32=1))),IF('Model inputs'!B42="","",'Model inputs'!B42),IF('Model inputs'!F19="","",'Model inputs'!F19))="",0,IF(IF(IF(ISERROR('Model inputs'!G32=1),'Model inputs'!G32=1,IF('Model inputs'!G32="","",'Model inputs'!G32=1))="",FALSE,IF(ISERROR('Model inputs'!G32=1),'Model inputs'!G32=1,IF('Model inputs'!G32="","",'Model inputs'!G32=1))),IF('Model inputs'!B42="","",'Model inputs'!B42),IF('Model inputs'!F19="","",'Model inputs'!F19)))+'Model inputs'!G33</f>
        <v>18654.399999999998</v>
      </c>
      <c r="H19" s="12">
        <f>IF(IF(IF(IF(ISERROR('Model inputs'!H32=1),'Model inputs'!H32=1,IF('Model inputs'!H32="","",'Model inputs'!H32=1))="",FALSE,IF(ISERROR('Model inputs'!H32=1),'Model inputs'!H32=1,IF('Model inputs'!H32="","",'Model inputs'!H32=1))),IF('Model inputs'!B42="","",'Model inputs'!B42),IF('Model inputs'!G19="","",'Model inputs'!G19))="",0,IF(IF(IF(ISERROR('Model inputs'!H32=1),'Model inputs'!H32=1,IF('Model inputs'!H32="","",'Model inputs'!H32=1))="",FALSE,IF(ISERROR('Model inputs'!H32=1),'Model inputs'!H32=1,IF('Model inputs'!H32="","",'Model inputs'!H32=1))),IF('Model inputs'!B42="","",'Model inputs'!B42),IF('Model inputs'!G19="","",'Model inputs'!G19)))+'Model inputs'!H33</f>
        <v>16662.823999999997</v>
      </c>
      <c r="I19" s="12">
        <f>IF(IF(IF(IF(ISERROR('Model inputs'!I32=1),'Model inputs'!I32=1,IF('Model inputs'!I32="","",'Model inputs'!I32=1))="",FALSE,IF(ISERROR('Model inputs'!I32=1),'Model inputs'!I32=1,IF('Model inputs'!I32="","",'Model inputs'!I32=1))),IF('Model inputs'!B42="","",'Model inputs'!B42),IF('Model inputs'!H19="","",'Model inputs'!H19))="",0,IF(IF(IF(ISERROR('Model inputs'!I32=1),'Model inputs'!I32=1,IF('Model inputs'!I32="","",'Model inputs'!I32=1))="",FALSE,IF(ISERROR('Model inputs'!I32=1),'Model inputs'!I32=1,IF('Model inputs'!I32="","",'Model inputs'!I32=1))),IF('Model inputs'!B42="","",'Model inputs'!B42),IF('Model inputs'!H19="","",'Model inputs'!H19)))+'Model inputs'!I33</f>
        <v>14946.119999999997</v>
      </c>
      <c r="J19" s="12">
        <f>IF(IF(IF(IF(ISERROR('Model inputs'!J32=1),'Model inputs'!J32=1,IF('Model inputs'!J32="","",'Model inputs'!J32=1))="",FALSE,IF(ISERROR('Model inputs'!J32=1),'Model inputs'!J32=1,IF('Model inputs'!J32="","",'Model inputs'!J32=1))),IF('Model inputs'!B42="","",'Model inputs'!B42),IF('Model inputs'!I19="","",'Model inputs'!I19))="",0,IF(IF(IF(ISERROR('Model inputs'!J32=1),'Model inputs'!J32=1,IF('Model inputs'!J32="","",'Model inputs'!J32=1))="",FALSE,IF(ISERROR('Model inputs'!J32=1),'Model inputs'!J32=1,IF('Model inputs'!J32="","",'Model inputs'!J32=1))),IF('Model inputs'!B42="","",'Model inputs'!B42),IF('Model inputs'!I19="","",'Model inputs'!I19)))+'Model inputs'!J33</f>
        <v>13353.039999999997</v>
      </c>
      <c r="K19" s="12">
        <f>IF(IF(IF(IF(ISERROR('Model inputs'!K32=1),'Model inputs'!K32=1,IF('Model inputs'!K32="","",'Model inputs'!K32=1))="",FALSE,IF(ISERROR('Model inputs'!K32=1),'Model inputs'!K32=1,IF('Model inputs'!K32="","",'Model inputs'!K32=1))),IF('Model inputs'!B42="","",'Model inputs'!B42),IF('Model inputs'!J19="","",'Model inputs'!J19))="",0,IF(IF(IF(ISERROR('Model inputs'!K32=1),'Model inputs'!K32=1,IF('Model inputs'!K32="","",'Model inputs'!K32=1))="",FALSE,IF(ISERROR('Model inputs'!K32=1),'Model inputs'!K32=1,IF('Model inputs'!K32="","",'Model inputs'!K32=1))),IF('Model inputs'!B42="","",'Model inputs'!B42),IF('Model inputs'!J19="","",'Model inputs'!J19)))+'Model inputs'!K33</f>
        <v>11883.583999999997</v>
      </c>
      <c r="L19" s="12">
        <f>IF(IF(IF(IF(ISERROR('Model inputs'!L32=1),'Model inputs'!L32=1,IF('Model inputs'!L32="","",'Model inputs'!L32=1))="",FALSE,IF(ISERROR('Model inputs'!L32=1),'Model inputs'!L32=1,IF('Model inputs'!L32="","",'Model inputs'!L32=1))),IF('Model inputs'!B42="","",'Model inputs'!B42),IF('Model inputs'!K19="","",'Model inputs'!K19))="",0,IF(IF(IF(ISERROR('Model inputs'!L32=1),'Model inputs'!L32=1,IF('Model inputs'!L32="","",'Model inputs'!L32=1))="",FALSE,IF(ISERROR('Model inputs'!L32=1),'Model inputs'!L32=1,IF('Model inputs'!L32="","",'Model inputs'!L32=1))),IF('Model inputs'!B42="","",'Model inputs'!B42),IF('Model inputs'!K19="","",'Model inputs'!K19)))+'Model inputs'!L33</f>
        <v>10688.999999999996</v>
      </c>
      <c r="M19" s="12">
        <f>IF(IF(IF(IF(ISERROR('Model inputs'!M32=1),'Model inputs'!M32=1,IF('Model inputs'!M32="","",'Model inputs'!M32=1))="",FALSE,IF(ISERROR('Model inputs'!M32=1),'Model inputs'!M32=1,IF('Model inputs'!M32="","",'Model inputs'!M32=1))),IF('Model inputs'!B42="","",'Model inputs'!B42),IF('Model inputs'!L19="","",'Model inputs'!L19))="",0,IF(IF(IF(ISERROR('Model inputs'!M32=1),'Model inputs'!M32=1,IF('Model inputs'!M32="","",'Model inputs'!M32=1))="",FALSE,IF(ISERROR('Model inputs'!M32=1),'Model inputs'!M32=1,IF('Model inputs'!M32="","",'Model inputs'!M32=1))),IF('Model inputs'!B42="","",'Model inputs'!B42),IF('Model inputs'!L19="","",'Model inputs'!L19)))+'Model inputs'!M33</f>
        <v>9618.039999999997</v>
      </c>
      <c r="N19" s="12">
        <f>IF(IF(IF(IF(ISERROR('Model inputs'!N32=1),'Model inputs'!N32=1,IF('Model inputs'!N32="","",'Model inputs'!N32=1))="",FALSE,IF(ISERROR('Model inputs'!N32=1),'Model inputs'!N32=1,IF('Model inputs'!N32="","",'Model inputs'!N32=1))),IF('Model inputs'!B42="","",'Model inputs'!B42),IF('Model inputs'!M19="","",'Model inputs'!M19))="",0,IF(IF(IF(ISERROR('Model inputs'!N32=1),'Model inputs'!N32=1,IF('Model inputs'!N32="","",'Model inputs'!N32=1))="",FALSE,IF(ISERROR('Model inputs'!N32=1),'Model inputs'!N32=1,IF('Model inputs'!N32="","",'Model inputs'!N32=1))),IF('Model inputs'!B42="","",'Model inputs'!B42),IF('Model inputs'!M19="","",'Model inputs'!M19)))+'Model inputs'!N33</f>
        <v>8670.703999999998</v>
      </c>
      <c r="O19" s="12">
        <f>IF(IF(IF(IF(ISERROR('Model inputs'!O32=1),'Model inputs'!O32=1,IF('Model inputs'!O32="","",'Model inputs'!O32=1))="",FALSE,IF(ISERROR('Model inputs'!O32=1),'Model inputs'!O32=1,IF('Model inputs'!O32="","",'Model inputs'!O32=1))),IF('Model inputs'!B42="","",'Model inputs'!B42),IF('Model inputs'!N19="","",'Model inputs'!N19))="",0,IF(IF(IF(ISERROR('Model inputs'!O32=1),'Model inputs'!O32=1,IF('Model inputs'!O32="","",'Model inputs'!O32=1))="",FALSE,IF(ISERROR('Model inputs'!O32=1),'Model inputs'!O32=1,IF('Model inputs'!O32="","",'Model inputs'!O32=1))),IF('Model inputs'!B42="","",'Model inputs'!B42),IF('Model inputs'!N19="","",'Model inputs'!N19)))+'Model inputs'!O33</f>
        <v>7998.239999999998</v>
      </c>
      <c r="P19" s="12">
        <f>IF(IF(IF(IF(ISERROR('Model inputs'!P32=1),'Model inputs'!P32=1,IF('Model inputs'!P32="","",'Model inputs'!P32=1))="",FALSE,IF(ISERROR('Model inputs'!P32=1),'Model inputs'!P32=1,IF('Model inputs'!P32="","",'Model inputs'!P32=1))),IF('Model inputs'!B42="","",'Model inputs'!B42),IF('Model inputs'!O19="","",'Model inputs'!O19))="",0,IF(IF(IF(ISERROR('Model inputs'!P32=1),'Model inputs'!P32=1,IF('Model inputs'!P32="","",'Model inputs'!P32=1))="",FALSE,IF(ISERROR('Model inputs'!P32=1),'Model inputs'!P32=1,IF('Model inputs'!P32="","",'Model inputs'!P32=1))),IF('Model inputs'!B42="","",'Model inputs'!B42),IF('Model inputs'!O19="","",'Model inputs'!O19)))+'Model inputs'!P33</f>
        <v>7449.399999999998</v>
      </c>
      <c r="Q19" s="12">
        <f>IF(IF(IF(IF(ISERROR('Model inputs'!Q32=1),'Model inputs'!Q32=1,IF('Model inputs'!Q32="","",'Model inputs'!Q32=1))="",FALSE,IF(ISERROR('Model inputs'!Q32=1),'Model inputs'!Q32=1,IF('Model inputs'!Q32="","",'Model inputs'!Q32=1))),IF('Model inputs'!B42="","",'Model inputs'!B42),IF('Model inputs'!P19="","",'Model inputs'!P19))="",0,IF(IF(IF(ISERROR('Model inputs'!Q32=1),'Model inputs'!Q32=1,IF('Model inputs'!Q32="","",'Model inputs'!Q32=1))="",FALSE,IF(ISERROR('Model inputs'!Q32=1),'Model inputs'!Q32=1,IF('Model inputs'!Q32="","",'Model inputs'!Q32=1))),IF('Model inputs'!B42="","",'Model inputs'!B42),IF('Model inputs'!P19="","",'Model inputs'!P19)))+'Model inputs'!Q33</f>
        <v>7237.243999999998</v>
      </c>
      <c r="R19" s="12">
        <f>IF(IF(IF(IF(ISERROR('Model inputs'!R32=1),'Model inputs'!R32=1,IF('Model inputs'!R32="","",'Model inputs'!R32=1))="",FALSE,IF(ISERROR('Model inputs'!R32=1),'Model inputs'!R32=1,IF('Model inputs'!R32="","",'Model inputs'!R32=1))),IF('Model inputs'!B42="","",'Model inputs'!B42),IF('Model inputs'!Q19="","",'Model inputs'!Q19))="",0,IF(IF(IF(ISERROR('Model inputs'!R32=1),'Model inputs'!R32=1,IF('Model inputs'!R32="","",'Model inputs'!R32=1))="",FALSE,IF(ISERROR('Model inputs'!R32=1),'Model inputs'!R32=1,IF('Model inputs'!R32="","",'Model inputs'!R32=1))),IF('Model inputs'!B42="","",'Model inputs'!B42),IF('Model inputs'!Q19="","",'Model inputs'!Q19)))+'Model inputs'!R33</f>
        <v>7148.711999999998</v>
      </c>
      <c r="S19" s="12">
        <f>IF(IF(IF(IF(ISERROR('Model inputs'!S32=1),'Model inputs'!S32=1,IF('Model inputs'!S32="","",'Model inputs'!S32=1))="",FALSE,IF(ISERROR('Model inputs'!S32=1),'Model inputs'!S32=1,IF('Model inputs'!S32="","",'Model inputs'!S32=1))),IF('Model inputs'!B42="","",'Model inputs'!B42),IF('Model inputs'!R19="","",'Model inputs'!R19))="",0,IF(IF(IF(ISERROR('Model inputs'!S32=1),'Model inputs'!S32=1,IF('Model inputs'!S32="","",'Model inputs'!S32=1))="",FALSE,IF(ISERROR('Model inputs'!S32=1),'Model inputs'!S32=1,IF('Model inputs'!S32="","",'Model inputs'!S32=1))),IF('Model inputs'!B42="","",'Model inputs'!B42),IF('Model inputs'!R19="","",'Model inputs'!R19)))+'Model inputs'!S33</f>
        <v>7396.863999999998</v>
      </c>
      <c r="T19" s="12">
        <f>IF(IF(IF(IF(ISERROR('Model inputs'!T32=1),'Model inputs'!T32=1,IF('Model inputs'!T32="","",'Model inputs'!T32=1))="",FALSE,IF(ISERROR('Model inputs'!T32=1),'Model inputs'!T32=1,IF('Model inputs'!T32="","",'Model inputs'!T32=1))),IF('Model inputs'!B42="","",'Model inputs'!B42),IF('Model inputs'!S19="","",'Model inputs'!S19))="",0,IF(IF(IF(ISERROR('Model inputs'!T32=1),'Model inputs'!T32=1,IF('Model inputs'!T32="","",'Model inputs'!T32=1))="",FALSE,IF(ISERROR('Model inputs'!T32=1),'Model inputs'!T32=1,IF('Model inputs'!T32="","",'Model inputs'!T32=1))),IF('Model inputs'!B42="","",'Model inputs'!B42),IF('Model inputs'!S19="","",'Model inputs'!S19)))+'Model inputs'!T33</f>
        <v>7768.639999999998</v>
      </c>
      <c r="U19" s="12">
        <f>IF(IF(IF(IF(ISERROR('Model inputs'!U32=1),'Model inputs'!U32=1,IF('Model inputs'!U32="","",'Model inputs'!U32=1))="",FALSE,IF(ISERROR('Model inputs'!U32=1),'Model inputs'!U32=1,IF('Model inputs'!U32="","",'Model inputs'!U32=1))),IF('Model inputs'!B42="","",'Model inputs'!B42),IF('Model inputs'!T19="","",'Model inputs'!T19))="",0,IF(IF(IF(ISERROR('Model inputs'!U32=1),'Model inputs'!U32=1,IF('Model inputs'!U32="","",'Model inputs'!U32=1))="",FALSE,IF(ISERROR('Model inputs'!U32=1),'Model inputs'!U32=1,IF('Model inputs'!U32="","",'Model inputs'!U32=1))),IF('Model inputs'!B42="","",'Model inputs'!B42),IF('Model inputs'!T19="","",'Model inputs'!T19)))+'Model inputs'!U33</f>
        <v>8477.099999999999</v>
      </c>
      <c r="V19" s="12">
        <f>IF(IF(IF(IF(ISERROR('Model inputs'!V32=1),'Model inputs'!V32=1,IF('Model inputs'!V32="","",'Model inputs'!V32=1))="",FALSE,IF(ISERROR('Model inputs'!V32=1),'Model inputs'!V32=1,IF('Model inputs'!V32="","",'Model inputs'!V32=1))),IF('Model inputs'!B42="","",'Model inputs'!B42),IF('Model inputs'!U19="","",'Model inputs'!U19))="",0,IF(IF(IF(ISERROR('Model inputs'!V32=1),'Model inputs'!V32=1,IF('Model inputs'!V32="","",'Model inputs'!V32=1))="",FALSE,IF(ISERROR('Model inputs'!V32=1),'Model inputs'!V32=1,IF('Model inputs'!V32="","",'Model inputs'!V32=1))),IF('Model inputs'!B42="","",'Model inputs'!B42),IF('Model inputs'!U19="","",'Model inputs'!U19)))+'Model inputs'!V33</f>
        <v>9584.055999999999</v>
      </c>
      <c r="W19" s="12">
        <f>IF(IF(IF(IF(ISERROR('Model inputs'!W32=1),'Model inputs'!W32=1,IF('Model inputs'!W32="","",'Model inputs'!W32=1))="",FALSE,IF(ISERROR('Model inputs'!W32=1),'Model inputs'!W32=1,IF('Model inputs'!W32="","",'Model inputs'!W32=1))),IF('Model inputs'!B42="","",'Model inputs'!B42),IF('Model inputs'!V19="","",'Model inputs'!V19))="",0,IF(IF(IF(ISERROR('Model inputs'!W32=1),'Model inputs'!W32=1,IF('Model inputs'!W32="","",'Model inputs'!W32=1))="",FALSE,IF(ISERROR('Model inputs'!W32=1),'Model inputs'!W32=1,IF('Model inputs'!W32="","",'Model inputs'!W32=1))),IF('Model inputs'!B42="","",'Model inputs'!B42),IF('Model inputs'!V19="","",'Model inputs'!V19)))+'Model inputs'!W33</f>
        <v>10814.635999999999</v>
      </c>
      <c r="X19" s="12">
        <f>IF(IF(IF(IF(ISERROR('Model inputs'!X32=1),'Model inputs'!X32=1,IF('Model inputs'!X32="","",'Model inputs'!X32=1))="",FALSE,IF(ISERROR('Model inputs'!X32=1),'Model inputs'!X32=1,IF('Model inputs'!X32="","",'Model inputs'!X32=1))),IF('Model inputs'!B42="","",'Model inputs'!B42),IF('Model inputs'!W19="","",'Model inputs'!W19))="",0,IF(IF(IF(ISERROR('Model inputs'!X32=1),'Model inputs'!X32=1,IF('Model inputs'!X32="","",'Model inputs'!X32=1))="",FALSE,IF(ISERROR('Model inputs'!X32=1),'Model inputs'!X32=1,IF('Model inputs'!X32="","",'Model inputs'!X32=1))),IF('Model inputs'!B42="","",'Model inputs'!B42),IF('Model inputs'!W19="","",'Model inputs'!W19)))+'Model inputs'!X33</f>
        <v>12381.899999999998</v>
      </c>
      <c r="Y19" s="12">
        <f>IF(IF(IF(IF(ISERROR('Model inputs'!Y32=1),'Model inputs'!Y32=1,IF('Model inputs'!Y32="","",'Model inputs'!Y32=1))="",FALSE,IF(ISERROR('Model inputs'!Y32=1),'Model inputs'!Y32=1,IF('Model inputs'!Y32="","",'Model inputs'!Y32=1))),IF('Model inputs'!B42="","",'Model inputs'!B42),IF('Model inputs'!X19="","",'Model inputs'!X19))="",0,IF(IF(IF(ISERROR('Model inputs'!Y32=1),'Model inputs'!Y32=1,IF('Model inputs'!Y32="","",'Model inputs'!Y32=1))="",FALSE,IF(ISERROR('Model inputs'!Y32=1),'Model inputs'!Y32=1,IF('Model inputs'!Y32="","",'Model inputs'!Y32=1))),IF('Model inputs'!B42="","",'Model inputs'!B42),IF('Model inputs'!X19="","",'Model inputs'!X19)))+'Model inputs'!Y33</f>
        <v>14072.787999999999</v>
      </c>
      <c r="Z19" s="12">
        <f>IF(IF(IF(IF(ISERROR('Model inputs'!Z32=1),'Model inputs'!Z32=1,IF('Model inputs'!Z32="","",'Model inputs'!Z32=1))="",FALSE,IF(ISERROR('Model inputs'!Z32=1),'Model inputs'!Z32=1,IF('Model inputs'!Z32="","",'Model inputs'!Z32=1))),IF('Model inputs'!B42="","",'Model inputs'!B42),IF('Model inputs'!Y19="","",'Model inputs'!Y19))="",0,IF(IF(IF(ISERROR('Model inputs'!Z32=1),'Model inputs'!Z32=1,IF('Model inputs'!Z32="","",'Model inputs'!Z32=1))="",FALSE,IF(ISERROR('Model inputs'!Z32=1),'Model inputs'!Z32=1,IF('Model inputs'!Z32="","",'Model inputs'!Z32=1))),IF('Model inputs'!B42="","",'Model inputs'!B42),IF('Model inputs'!Y19="","",'Model inputs'!Y19)))+'Model inputs'!Z33</f>
        <v>16100.359999999999</v>
      </c>
      <c r="AA19" s="12">
        <f>IF(IF(IF(IF(ISERROR('Model inputs'!AA32=1),'Model inputs'!AA32=1,IF('Model inputs'!AA32="","",'Model inputs'!AA32=1))="",FALSE,IF(ISERROR('Model inputs'!AA32=1),'Model inputs'!AA32=1,IF('Model inputs'!AA32="","",'Model inputs'!AA32=1))),IF('Model inputs'!B42="","",'Model inputs'!B42),IF('Model inputs'!Z19="","",'Model inputs'!Z19))="",0,IF(IF(IF(ISERROR('Model inputs'!AA32=1),'Model inputs'!AA32=1,IF('Model inputs'!AA32="","",'Model inputs'!AA32=1))="",FALSE,IF(ISERROR('Model inputs'!AA32=1),'Model inputs'!AA32=1,IF('Model inputs'!AA32="","",'Model inputs'!AA32=1))),IF('Model inputs'!B42="","",'Model inputs'!B42),IF('Model inputs'!Z19="","",'Model inputs'!Z19)))+'Model inputs'!AA33</f>
        <v>18251.555999999997</v>
      </c>
      <c r="AB19" s="12">
        <f>IF(IF(IF(IF(ISERROR('Model inputs'!AB32=1),'Model inputs'!AB32=1,IF('Model inputs'!AB32="","",'Model inputs'!AB32=1))="",FALSE,IF(ISERROR('Model inputs'!AB32=1),'Model inputs'!AB32=1,IF('Model inputs'!AB32="","",'Model inputs'!AB32=1))),IF('Model inputs'!B42="","",'Model inputs'!B42),IF('Model inputs'!AA19="","",'Model inputs'!AA19))="",0,IF(IF(IF(ISERROR('Model inputs'!AB32=1),'Model inputs'!AB32=1,IF('Model inputs'!AB32="","",'Model inputs'!AB32=1))="",FALSE,IF(ISERROR('Model inputs'!AB32=1),'Model inputs'!AB32=1,IF('Model inputs'!AB32="","",'Model inputs'!AB32=1))),IF('Model inputs'!B42="","",'Model inputs'!B42),IF('Model inputs'!AA19="","",'Model inputs'!AA19)))+'Model inputs'!AB33</f>
        <v>20739.435999999998</v>
      </c>
    </row>
    <row r="20">
      <c r="A20" t="inlineStr" s="18">
        <is>
          <t xml:space="preserve">Founder salary</t>
        </is>
      </c>
      <c r="C20" s="12">
        <v>0</v>
      </c>
      <c r="D20" s="12">
        <f>IF(IF(IF(ISERROR('Model inputs'!D32&gt;=1),'Model inputs'!D32&gt;=1,IF('Model inputs'!D32="","",'Model inputs'!D32&gt;=1))="",FALSE,IF(ISERROR('Model inputs'!D32&gt;=1),'Model inputs'!D32&gt;=1,IF('Model inputs'!D32="","",'Model inputs'!D32&gt;=1))),IF('Model inputs'!B21="","",'Model inputs'!B21),0)</f>
        <v>0</v>
      </c>
      <c r="E20" s="12">
        <f>IF(IF(IF(ISERROR('Model inputs'!E32&gt;=1),'Model inputs'!E32&gt;=1,IF('Model inputs'!E32="","",'Model inputs'!E32&gt;=1))="",FALSE,IF(ISERROR('Model inputs'!E32&gt;=1),'Model inputs'!E32&gt;=1,IF('Model inputs'!E32="","",'Model inputs'!E32&gt;=1))),IF('Model inputs'!B21="","",'Model inputs'!B21),0)</f>
        <v>2000</v>
      </c>
      <c r="F20" s="12">
        <f>IF(IF(IF(ISERROR('Model inputs'!F32&gt;=1),'Model inputs'!F32&gt;=1,IF('Model inputs'!F32="","",'Model inputs'!F32&gt;=1))="",FALSE,IF(ISERROR('Model inputs'!F32&gt;=1),'Model inputs'!F32&gt;=1,IF('Model inputs'!F32="","",'Model inputs'!F32&gt;=1))),IF('Model inputs'!B21="","",'Model inputs'!B21),0)</f>
        <v>2000</v>
      </c>
      <c r="G20" s="12">
        <f>IF(IF(IF(ISERROR('Model inputs'!G32&gt;=1),'Model inputs'!G32&gt;=1,IF('Model inputs'!G32="","",'Model inputs'!G32&gt;=1))="",FALSE,IF(ISERROR('Model inputs'!G32&gt;=1),'Model inputs'!G32&gt;=1,IF('Model inputs'!G32="","",'Model inputs'!G32&gt;=1))),IF('Model inputs'!B21="","",'Model inputs'!B21),0)</f>
        <v>2000</v>
      </c>
      <c r="H20" s="12">
        <f>IF(IF(IF(ISERROR('Model inputs'!H32&gt;=1),'Model inputs'!H32&gt;=1,IF('Model inputs'!H32="","",'Model inputs'!H32&gt;=1))="",FALSE,IF(ISERROR('Model inputs'!H32&gt;=1),'Model inputs'!H32&gt;=1,IF('Model inputs'!H32="","",'Model inputs'!H32&gt;=1))),IF('Model inputs'!B21="","",'Model inputs'!B21),0)</f>
        <v>2000</v>
      </c>
      <c r="I20" s="12">
        <f>IF(IF(IF(ISERROR('Model inputs'!I32&gt;=1),'Model inputs'!I32&gt;=1,IF('Model inputs'!I32="","",'Model inputs'!I32&gt;=1))="",FALSE,IF(ISERROR('Model inputs'!I32&gt;=1),'Model inputs'!I32&gt;=1,IF('Model inputs'!I32="","",'Model inputs'!I32&gt;=1))),IF('Model inputs'!B21="","",'Model inputs'!B21),0)</f>
        <v>2000</v>
      </c>
      <c r="J20" s="12">
        <f>IF(IF(IF(ISERROR('Model inputs'!J32&gt;=1),'Model inputs'!J32&gt;=1,IF('Model inputs'!J32="","",'Model inputs'!J32&gt;=1))="",FALSE,IF(ISERROR('Model inputs'!J32&gt;=1),'Model inputs'!J32&gt;=1,IF('Model inputs'!J32="","",'Model inputs'!J32&gt;=1))),IF('Model inputs'!B21="","",'Model inputs'!B21),0)</f>
        <v>2000</v>
      </c>
      <c r="K20" s="12">
        <f>IF(IF(IF(ISERROR('Model inputs'!K32&gt;=1),'Model inputs'!K32&gt;=1,IF('Model inputs'!K32="","",'Model inputs'!K32&gt;=1))="",FALSE,IF(ISERROR('Model inputs'!K32&gt;=1),'Model inputs'!K32&gt;=1,IF('Model inputs'!K32="","",'Model inputs'!K32&gt;=1))),IF('Model inputs'!B21="","",'Model inputs'!B21),0)</f>
        <v>2000</v>
      </c>
      <c r="L20" s="12">
        <f>IF(IF(IF(ISERROR('Model inputs'!L32&gt;=1),'Model inputs'!L32&gt;=1,IF('Model inputs'!L32="","",'Model inputs'!L32&gt;=1))="",FALSE,IF(ISERROR('Model inputs'!L32&gt;=1),'Model inputs'!L32&gt;=1,IF('Model inputs'!L32="","",'Model inputs'!L32&gt;=1))),IF('Model inputs'!B21="","",'Model inputs'!B21),0)</f>
        <v>2000</v>
      </c>
      <c r="M20" s="12">
        <f>IF(IF(IF(ISERROR('Model inputs'!M32&gt;=1),'Model inputs'!M32&gt;=1,IF('Model inputs'!M32="","",'Model inputs'!M32&gt;=1))="",FALSE,IF(ISERROR('Model inputs'!M32&gt;=1),'Model inputs'!M32&gt;=1,IF('Model inputs'!M32="","",'Model inputs'!M32&gt;=1))),IF('Model inputs'!B21="","",'Model inputs'!B21),0)</f>
        <v>2000</v>
      </c>
      <c r="N20" s="12">
        <f>IF(IF(IF(ISERROR('Model inputs'!N32&gt;=1),'Model inputs'!N32&gt;=1,IF('Model inputs'!N32="","",'Model inputs'!N32&gt;=1))="",FALSE,IF(ISERROR('Model inputs'!N32&gt;=1),'Model inputs'!N32&gt;=1,IF('Model inputs'!N32="","",'Model inputs'!N32&gt;=1))),IF('Model inputs'!B21="","",'Model inputs'!B21),0)</f>
        <v>2000</v>
      </c>
      <c r="O20" s="12">
        <f>IF(IF(IF(ISERROR('Model inputs'!O32&gt;=1),'Model inputs'!O32&gt;=1,IF('Model inputs'!O32="","",'Model inputs'!O32&gt;=1))="",FALSE,IF(ISERROR('Model inputs'!O32&gt;=1),'Model inputs'!O32&gt;=1,IF('Model inputs'!O32="","",'Model inputs'!O32&gt;=1))),IF('Model inputs'!B21="","",'Model inputs'!B21),0)</f>
        <v>2000</v>
      </c>
      <c r="P20" s="12">
        <f>IF(IF(IF(ISERROR('Model inputs'!P32&gt;=1),'Model inputs'!P32&gt;=1,IF('Model inputs'!P32="","",'Model inputs'!P32&gt;=1))="",FALSE,IF(ISERROR('Model inputs'!P32&gt;=1),'Model inputs'!P32&gt;=1,IF('Model inputs'!P32="","",'Model inputs'!P32&gt;=1))),IF('Model inputs'!B21="","",'Model inputs'!B21),0)</f>
        <v>2000</v>
      </c>
      <c r="Q20" s="12">
        <f>IF(IF(IF(ISERROR('Model inputs'!Q32&gt;=1),'Model inputs'!Q32&gt;=1,IF('Model inputs'!Q32="","",'Model inputs'!Q32&gt;=1))="",FALSE,IF(ISERROR('Model inputs'!Q32&gt;=1),'Model inputs'!Q32&gt;=1,IF('Model inputs'!Q32="","",'Model inputs'!Q32&gt;=1))),IF('Model inputs'!B21="","",'Model inputs'!B21),0)</f>
        <v>2000</v>
      </c>
      <c r="R20" s="12">
        <f>IF(IF(IF(ISERROR('Model inputs'!R32&gt;=1),'Model inputs'!R32&gt;=1,IF('Model inputs'!R32="","",'Model inputs'!R32&gt;=1))="",FALSE,IF(ISERROR('Model inputs'!R32&gt;=1),'Model inputs'!R32&gt;=1,IF('Model inputs'!R32="","",'Model inputs'!R32&gt;=1))),IF('Model inputs'!B21="","",'Model inputs'!B21),0)</f>
        <v>2000</v>
      </c>
      <c r="S20" s="12">
        <f>IF(IF(IF(ISERROR('Model inputs'!S32&gt;=1),'Model inputs'!S32&gt;=1,IF('Model inputs'!S32="","",'Model inputs'!S32&gt;=1))="",FALSE,IF(ISERROR('Model inputs'!S32&gt;=1),'Model inputs'!S32&gt;=1,IF('Model inputs'!S32="","",'Model inputs'!S32&gt;=1))),IF('Model inputs'!B21="","",'Model inputs'!B21),0)</f>
        <v>2000</v>
      </c>
      <c r="T20" s="12">
        <f>IF(IF(IF(ISERROR('Model inputs'!T32&gt;=1),'Model inputs'!T32&gt;=1,IF('Model inputs'!T32="","",'Model inputs'!T32&gt;=1))="",FALSE,IF(ISERROR('Model inputs'!T32&gt;=1),'Model inputs'!T32&gt;=1,IF('Model inputs'!T32="","",'Model inputs'!T32&gt;=1))),IF('Model inputs'!B21="","",'Model inputs'!B21),0)</f>
        <v>2000</v>
      </c>
      <c r="U20" s="12">
        <f>IF(IF(IF(ISERROR('Model inputs'!U32&gt;=1),'Model inputs'!U32&gt;=1,IF('Model inputs'!U32="","",'Model inputs'!U32&gt;=1))="",FALSE,IF(ISERROR('Model inputs'!U32&gt;=1),'Model inputs'!U32&gt;=1,IF('Model inputs'!U32="","",'Model inputs'!U32&gt;=1))),IF('Model inputs'!B21="","",'Model inputs'!B21),0)</f>
        <v>2000</v>
      </c>
      <c r="V20" s="12">
        <f>IF(IF(IF(ISERROR('Model inputs'!V32&gt;=1),'Model inputs'!V32&gt;=1,IF('Model inputs'!V32="","",'Model inputs'!V32&gt;=1))="",FALSE,IF(ISERROR('Model inputs'!V32&gt;=1),'Model inputs'!V32&gt;=1,IF('Model inputs'!V32="","",'Model inputs'!V32&gt;=1))),IF('Model inputs'!B21="","",'Model inputs'!B21),0)</f>
        <v>2000</v>
      </c>
      <c r="W20" s="12">
        <f>IF(IF(IF(ISERROR('Model inputs'!W32&gt;=1),'Model inputs'!W32&gt;=1,IF('Model inputs'!W32="","",'Model inputs'!W32&gt;=1))="",FALSE,IF(ISERROR('Model inputs'!W32&gt;=1),'Model inputs'!W32&gt;=1,IF('Model inputs'!W32="","",'Model inputs'!W32&gt;=1))),IF('Model inputs'!B21="","",'Model inputs'!B21),0)</f>
        <v>2000</v>
      </c>
      <c r="X20" s="12">
        <f>IF(IF(IF(ISERROR('Model inputs'!X32&gt;=1),'Model inputs'!X32&gt;=1,IF('Model inputs'!X32="","",'Model inputs'!X32&gt;=1))="",FALSE,IF(ISERROR('Model inputs'!X32&gt;=1),'Model inputs'!X32&gt;=1,IF('Model inputs'!X32="","",'Model inputs'!X32&gt;=1))),IF('Model inputs'!B21="","",'Model inputs'!B21),0)</f>
        <v>2000</v>
      </c>
      <c r="Y20" s="12">
        <f>IF(IF(IF(ISERROR('Model inputs'!Y32&gt;=1),'Model inputs'!Y32&gt;=1,IF('Model inputs'!Y32="","",'Model inputs'!Y32&gt;=1))="",FALSE,IF(ISERROR('Model inputs'!Y32&gt;=1),'Model inputs'!Y32&gt;=1,IF('Model inputs'!Y32="","",'Model inputs'!Y32&gt;=1))),IF('Model inputs'!B21="","",'Model inputs'!B21),0)</f>
        <v>2000</v>
      </c>
      <c r="Z20" s="12">
        <f>IF(IF(IF(ISERROR('Model inputs'!Z32&gt;=1),'Model inputs'!Z32&gt;=1,IF('Model inputs'!Z32="","",'Model inputs'!Z32&gt;=1))="",FALSE,IF(ISERROR('Model inputs'!Z32&gt;=1),'Model inputs'!Z32&gt;=1,IF('Model inputs'!Z32="","",'Model inputs'!Z32&gt;=1))),IF('Model inputs'!B21="","",'Model inputs'!B21),0)</f>
        <v>2000</v>
      </c>
      <c r="AA20" s="12">
        <f>IF(IF(IF(ISERROR('Model inputs'!AA32&gt;=1),'Model inputs'!AA32&gt;=1,IF('Model inputs'!AA32="","",'Model inputs'!AA32&gt;=1))="",FALSE,IF(ISERROR('Model inputs'!AA32&gt;=1),'Model inputs'!AA32&gt;=1,IF('Model inputs'!AA32="","",'Model inputs'!AA32&gt;=1))),IF('Model inputs'!B21="","",'Model inputs'!B21),0)</f>
        <v>2000</v>
      </c>
      <c r="AB20" s="12">
        <f>IF(IF(IF(ISERROR('Model inputs'!AB32&gt;=1),'Model inputs'!AB32&gt;=1,IF('Model inputs'!AB32="","",'Model inputs'!AB32&gt;=1))="",FALSE,IF(ISERROR('Model inputs'!AB32&gt;=1),'Model inputs'!AB32&gt;=1,IF('Model inputs'!AB32="","",'Model inputs'!AB32&gt;=1))),IF('Model inputs'!B21="","",'Model inputs'!B21),0)</f>
        <v>2000</v>
      </c>
    </row>
    <row r="21">
      <c r="A21" t="inlineStr" s="18">
        <is>
          <t xml:space="preserve">Founder salary per month</t>
        </is>
      </c>
      <c r="B21" s="12">
        <f>2000</f>
        <v>2000</v>
      </c>
    </row>
    <row r="22">
      <c r="A22" t="inlineStr" s="18">
        <is>
          <t xml:space="preserve">Gross profit</t>
        </is>
      </c>
      <c r="C22" s="12">
        <v>0</v>
      </c>
      <c r="D22" s="12">
        <f>'Model inputs'!D39-'Model inputs'!D11</f>
        <v>0</v>
      </c>
      <c r="E22" s="12">
        <f>'Model inputs'!E39-'Model inputs'!E11</f>
        <v>-15.2</v>
      </c>
      <c r="F22" s="12">
        <f>'Model inputs'!F39-'Model inputs'!F11</f>
        <v>-15.2</v>
      </c>
      <c r="G22" s="12">
        <f>'Model inputs'!G39-'Model inputs'!G11</f>
        <v>-15.2</v>
      </c>
      <c r="H22" s="12">
        <f>'Model inputs'!H39-'Model inputs'!H11</f>
        <v>108.42399999999999</v>
      </c>
      <c r="I22" s="12">
        <f>'Model inputs'!I39-'Model inputs'!I11</f>
        <v>383.296</v>
      </c>
      <c r="J22" s="12">
        <f>'Model inputs'!J39-'Model inputs'!J11</f>
        <v>506.92</v>
      </c>
      <c r="K22" s="12">
        <f>'Model inputs'!K39-'Model inputs'!K11</f>
        <v>630.544</v>
      </c>
      <c r="L22" s="12">
        <f>'Model inputs'!L39-'Model inputs'!L11</f>
        <v>905.4159999999999</v>
      </c>
      <c r="M22" s="12">
        <f>'Model inputs'!M39-'Model inputs'!M11</f>
        <v>1029.04</v>
      </c>
      <c r="N22" s="12">
        <f>'Model inputs'!N39-'Model inputs'!N11</f>
        <v>1152.664</v>
      </c>
      <c r="O22" s="12">
        <f>'Model inputs'!O39-'Model inputs'!O11</f>
        <v>1427.5359999999998</v>
      </c>
      <c r="P22" s="12">
        <f>'Model inputs'!P39-'Model inputs'!P11</f>
        <v>1551.16</v>
      </c>
      <c r="Q22" s="12">
        <f>'Model inputs'!Q39-'Model inputs'!Q11</f>
        <v>1887.844</v>
      </c>
      <c r="R22" s="12">
        <f>'Model inputs'!R39-'Model inputs'!R11</f>
        <v>2011.4679999999998</v>
      </c>
      <c r="S22" s="12">
        <f>'Model inputs'!S39-'Model inputs'!S11</f>
        <v>2348.152</v>
      </c>
      <c r="T22" s="12">
        <f>'Model inputs'!T39-'Model inputs'!T11</f>
        <v>2471.776</v>
      </c>
      <c r="U22" s="12">
        <f>'Model inputs'!U39-'Model inputs'!U11</f>
        <v>2808.46</v>
      </c>
      <c r="V22" s="12">
        <f>'Model inputs'!V39-'Model inputs'!V11</f>
        <v>3206.9559999999997</v>
      </c>
      <c r="W22" s="12">
        <f>'Model inputs'!W39-'Model inputs'!W11</f>
        <v>3330.58</v>
      </c>
      <c r="X22" s="12">
        <f>'Model inputs'!X39-'Model inputs'!X11</f>
        <v>3667.264</v>
      </c>
      <c r="Y22" s="12">
        <f>'Model inputs'!Y39-'Model inputs'!Y11</f>
        <v>3790.8880000000004</v>
      </c>
      <c r="Z22" s="12">
        <f>'Model inputs'!Z39-'Model inputs'!Z11</f>
        <v>4127.572</v>
      </c>
      <c r="AA22" s="12">
        <f>'Model inputs'!AA39-'Model inputs'!AA11</f>
        <v>4251.196</v>
      </c>
      <c r="AB22" s="12">
        <f>'Model inputs'!AB39-'Model inputs'!AB11</f>
        <v>4587.88</v>
      </c>
    </row>
    <row r="23">
      <c r="A23" t="inlineStr" s="18">
        <is>
          <t xml:space="preserve">Hosting</t>
        </is>
      </c>
      <c r="C23" s="14">
        <v>0</v>
      </c>
      <c r="D23" s="14">
        <f>IF(IF(IF(ISERROR('Model inputs'!D32&gt;=1),'Model inputs'!D32&gt;=1,IF('Model inputs'!D32="","",'Model inputs'!D32&gt;=1))="",FALSE,IF(ISERROR('Model inputs'!D32&gt;=1),'Model inputs'!D32&gt;=1,IF('Model inputs'!D32="","",'Model inputs'!D32&gt;=1))),IF('Model inputs'!B24="","",'Model inputs'!B24),0)</f>
        <v>0</v>
      </c>
      <c r="E23" s="14">
        <f>IF(IF(IF(ISERROR('Model inputs'!E32&gt;=1),'Model inputs'!E32&gt;=1,IF('Model inputs'!E32="","",'Model inputs'!E32&gt;=1))="",FALSE,IF(ISERROR('Model inputs'!E32&gt;=1),'Model inputs'!E32&gt;=1,IF('Model inputs'!E32="","",'Model inputs'!E32&gt;=1))),IF('Model inputs'!B24="","",'Model inputs'!B24),0)</f>
        <v>15.2</v>
      </c>
      <c r="F23" s="14">
        <f>IF(IF(IF(ISERROR('Model inputs'!F32&gt;=1),'Model inputs'!F32&gt;=1,IF('Model inputs'!F32="","",'Model inputs'!F32&gt;=1))="",FALSE,IF(ISERROR('Model inputs'!F32&gt;=1),'Model inputs'!F32&gt;=1,IF('Model inputs'!F32="","",'Model inputs'!F32&gt;=1))),IF('Model inputs'!B24="","",'Model inputs'!B24),0)</f>
        <v>15.2</v>
      </c>
      <c r="G23" s="14">
        <f>IF(IF(IF(ISERROR('Model inputs'!G32&gt;=1),'Model inputs'!G32&gt;=1,IF('Model inputs'!G32="","",'Model inputs'!G32&gt;=1))="",FALSE,IF(ISERROR('Model inputs'!G32&gt;=1),'Model inputs'!G32&gt;=1,IF('Model inputs'!G32="","",'Model inputs'!G32&gt;=1))),IF('Model inputs'!B24="","",'Model inputs'!B24),0)</f>
        <v>15.2</v>
      </c>
      <c r="H23" s="14">
        <f>IF(IF(IF(ISERROR('Model inputs'!H32&gt;=1),'Model inputs'!H32&gt;=1,IF('Model inputs'!H32="","",'Model inputs'!H32&gt;=1))="",FALSE,IF(ISERROR('Model inputs'!H32&gt;=1),'Model inputs'!H32&gt;=1,IF('Model inputs'!H32="","",'Model inputs'!H32&gt;=1))),IF('Model inputs'!B24="","",'Model inputs'!B24),0)</f>
        <v>15.2</v>
      </c>
      <c r="I23" s="14">
        <f>IF(IF(IF(ISERROR('Model inputs'!I32&gt;=1),'Model inputs'!I32&gt;=1,IF('Model inputs'!I32="","",'Model inputs'!I32&gt;=1))="",FALSE,IF(ISERROR('Model inputs'!I32&gt;=1),'Model inputs'!I32&gt;=1,IF('Model inputs'!I32="","",'Model inputs'!I32&gt;=1))),IF('Model inputs'!B24="","",'Model inputs'!B24),0)</f>
        <v>15.2</v>
      </c>
      <c r="J23" s="14">
        <f>IF(IF(IF(ISERROR('Model inputs'!J32&gt;=1),'Model inputs'!J32&gt;=1,IF('Model inputs'!J32="","",'Model inputs'!J32&gt;=1))="",FALSE,IF(ISERROR('Model inputs'!J32&gt;=1),'Model inputs'!J32&gt;=1,IF('Model inputs'!J32="","",'Model inputs'!J32&gt;=1))),IF('Model inputs'!B24="","",'Model inputs'!B24),0)</f>
        <v>15.2</v>
      </c>
      <c r="K23" s="14">
        <f>IF(IF(IF(ISERROR('Model inputs'!K32&gt;=1),'Model inputs'!K32&gt;=1,IF('Model inputs'!K32="","",'Model inputs'!K32&gt;=1))="",FALSE,IF(ISERROR('Model inputs'!K32&gt;=1),'Model inputs'!K32&gt;=1,IF('Model inputs'!K32="","",'Model inputs'!K32&gt;=1))),IF('Model inputs'!B24="","",'Model inputs'!B24),0)</f>
        <v>15.2</v>
      </c>
      <c r="L23" s="14">
        <f>IF(IF(IF(ISERROR('Model inputs'!L32&gt;=1),'Model inputs'!L32&gt;=1,IF('Model inputs'!L32="","",'Model inputs'!L32&gt;=1))="",FALSE,IF(ISERROR('Model inputs'!L32&gt;=1),'Model inputs'!L32&gt;=1,IF('Model inputs'!L32="","",'Model inputs'!L32&gt;=1))),IF('Model inputs'!B24="","",'Model inputs'!B24),0)</f>
        <v>15.2</v>
      </c>
      <c r="M23" s="14">
        <f>IF(IF(IF(ISERROR('Model inputs'!M32&gt;=1),'Model inputs'!M32&gt;=1,IF('Model inputs'!M32="","",'Model inputs'!M32&gt;=1))="",FALSE,IF(ISERROR('Model inputs'!M32&gt;=1),'Model inputs'!M32&gt;=1,IF('Model inputs'!M32="","",'Model inputs'!M32&gt;=1))),IF('Model inputs'!B24="","",'Model inputs'!B24),0)</f>
        <v>15.2</v>
      </c>
      <c r="N23" s="14">
        <f>IF(IF(IF(ISERROR('Model inputs'!N32&gt;=1),'Model inputs'!N32&gt;=1,IF('Model inputs'!N32="","",'Model inputs'!N32&gt;=1))="",FALSE,IF(ISERROR('Model inputs'!N32&gt;=1),'Model inputs'!N32&gt;=1,IF('Model inputs'!N32="","",'Model inputs'!N32&gt;=1))),IF('Model inputs'!B24="","",'Model inputs'!B24),0)</f>
        <v>15.2</v>
      </c>
      <c r="O23" s="14">
        <f>IF(IF(IF(ISERROR('Model inputs'!O32&gt;=1),'Model inputs'!O32&gt;=1,IF('Model inputs'!O32="","",'Model inputs'!O32&gt;=1))="",FALSE,IF(ISERROR('Model inputs'!O32&gt;=1),'Model inputs'!O32&gt;=1,IF('Model inputs'!O32="","",'Model inputs'!O32&gt;=1))),IF('Model inputs'!B24="","",'Model inputs'!B24),0)</f>
        <v>15.2</v>
      </c>
      <c r="P23" s="14">
        <f>IF(IF(IF(ISERROR('Model inputs'!P32&gt;=1),'Model inputs'!P32&gt;=1,IF('Model inputs'!P32="","",'Model inputs'!P32&gt;=1))="",FALSE,IF(ISERROR('Model inputs'!P32&gt;=1),'Model inputs'!P32&gt;=1,IF('Model inputs'!P32="","",'Model inputs'!P32&gt;=1))),IF('Model inputs'!B24="","",'Model inputs'!B24),0)</f>
        <v>15.2</v>
      </c>
      <c r="Q23" s="14">
        <f>IF(IF(IF(ISERROR('Model inputs'!Q32&gt;=1),'Model inputs'!Q32&gt;=1,IF('Model inputs'!Q32="","",'Model inputs'!Q32&gt;=1))="",FALSE,IF(ISERROR('Model inputs'!Q32&gt;=1),'Model inputs'!Q32&gt;=1,IF('Model inputs'!Q32="","",'Model inputs'!Q32&gt;=1))),IF('Model inputs'!B24="","",'Model inputs'!B24),0)</f>
        <v>15.2</v>
      </c>
      <c r="R23" s="14">
        <f>IF(IF(IF(ISERROR('Model inputs'!R32&gt;=1),'Model inputs'!R32&gt;=1,IF('Model inputs'!R32="","",'Model inputs'!R32&gt;=1))="",FALSE,IF(ISERROR('Model inputs'!R32&gt;=1),'Model inputs'!R32&gt;=1,IF('Model inputs'!R32="","",'Model inputs'!R32&gt;=1))),IF('Model inputs'!B24="","",'Model inputs'!B24),0)</f>
        <v>15.2</v>
      </c>
      <c r="S23" s="14">
        <f>IF(IF(IF(ISERROR('Model inputs'!S32&gt;=1),'Model inputs'!S32&gt;=1,IF('Model inputs'!S32="","",'Model inputs'!S32&gt;=1))="",FALSE,IF(ISERROR('Model inputs'!S32&gt;=1),'Model inputs'!S32&gt;=1,IF('Model inputs'!S32="","",'Model inputs'!S32&gt;=1))),IF('Model inputs'!B24="","",'Model inputs'!B24),0)</f>
        <v>15.2</v>
      </c>
      <c r="T23" s="14">
        <f>IF(IF(IF(ISERROR('Model inputs'!T32&gt;=1),'Model inputs'!T32&gt;=1,IF('Model inputs'!T32="","",'Model inputs'!T32&gt;=1))="",FALSE,IF(ISERROR('Model inputs'!T32&gt;=1),'Model inputs'!T32&gt;=1,IF('Model inputs'!T32="","",'Model inputs'!T32&gt;=1))),IF('Model inputs'!B24="","",'Model inputs'!B24),0)</f>
        <v>15.2</v>
      </c>
      <c r="U23" s="14">
        <f>IF(IF(IF(ISERROR('Model inputs'!U32&gt;=1),'Model inputs'!U32&gt;=1,IF('Model inputs'!U32="","",'Model inputs'!U32&gt;=1))="",FALSE,IF(ISERROR('Model inputs'!U32&gt;=1),'Model inputs'!U32&gt;=1,IF('Model inputs'!U32="","",'Model inputs'!U32&gt;=1))),IF('Model inputs'!B24="","",'Model inputs'!B24),0)</f>
        <v>15.2</v>
      </c>
      <c r="V23" s="14">
        <f>IF(IF(IF(ISERROR('Model inputs'!V32&gt;=1),'Model inputs'!V32&gt;=1,IF('Model inputs'!V32="","",'Model inputs'!V32&gt;=1))="",FALSE,IF(ISERROR('Model inputs'!V32&gt;=1),'Model inputs'!V32&gt;=1,IF('Model inputs'!V32="","",'Model inputs'!V32&gt;=1))),IF('Model inputs'!B24="","",'Model inputs'!B24),0)</f>
        <v>15.2</v>
      </c>
      <c r="W23" s="14">
        <f>IF(IF(IF(ISERROR('Model inputs'!W32&gt;=1),'Model inputs'!W32&gt;=1,IF('Model inputs'!W32="","",'Model inputs'!W32&gt;=1))="",FALSE,IF(ISERROR('Model inputs'!W32&gt;=1),'Model inputs'!W32&gt;=1,IF('Model inputs'!W32="","",'Model inputs'!W32&gt;=1))),IF('Model inputs'!B24="","",'Model inputs'!B24),0)</f>
        <v>15.2</v>
      </c>
      <c r="X23" s="14">
        <f>IF(IF(IF(ISERROR('Model inputs'!X32&gt;=1),'Model inputs'!X32&gt;=1,IF('Model inputs'!X32="","",'Model inputs'!X32&gt;=1))="",FALSE,IF(ISERROR('Model inputs'!X32&gt;=1),'Model inputs'!X32&gt;=1,IF('Model inputs'!X32="","",'Model inputs'!X32&gt;=1))),IF('Model inputs'!B24="","",'Model inputs'!B24),0)</f>
        <v>15.2</v>
      </c>
      <c r="Y23" s="14">
        <f>IF(IF(IF(ISERROR('Model inputs'!Y32&gt;=1),'Model inputs'!Y32&gt;=1,IF('Model inputs'!Y32="","",'Model inputs'!Y32&gt;=1))="",FALSE,IF(ISERROR('Model inputs'!Y32&gt;=1),'Model inputs'!Y32&gt;=1,IF('Model inputs'!Y32="","",'Model inputs'!Y32&gt;=1))),IF('Model inputs'!B24="","",'Model inputs'!B24),0)</f>
        <v>15.2</v>
      </c>
      <c r="Z23" s="14">
        <f>IF(IF(IF(ISERROR('Model inputs'!Z32&gt;=1),'Model inputs'!Z32&gt;=1,IF('Model inputs'!Z32="","",'Model inputs'!Z32&gt;=1))="",FALSE,IF(ISERROR('Model inputs'!Z32&gt;=1),'Model inputs'!Z32&gt;=1,IF('Model inputs'!Z32="","",'Model inputs'!Z32&gt;=1))),IF('Model inputs'!B24="","",'Model inputs'!B24),0)</f>
        <v>15.2</v>
      </c>
      <c r="AA23" s="14">
        <f>IF(IF(IF(ISERROR('Model inputs'!AA32&gt;=1),'Model inputs'!AA32&gt;=1,IF('Model inputs'!AA32="","",'Model inputs'!AA32&gt;=1))="",FALSE,IF(ISERROR('Model inputs'!AA32&gt;=1),'Model inputs'!AA32&gt;=1,IF('Model inputs'!AA32="","",'Model inputs'!AA32&gt;=1))),IF('Model inputs'!B24="","",'Model inputs'!B24),0)</f>
        <v>15.2</v>
      </c>
      <c r="AB23" s="14">
        <f>IF(IF(IF(ISERROR('Model inputs'!AB32&gt;=1),'Model inputs'!AB32&gt;=1,IF('Model inputs'!AB32="","",'Model inputs'!AB32&gt;=1))="",FALSE,IF(ISERROR('Model inputs'!AB32&gt;=1),'Model inputs'!AB32&gt;=1,IF('Model inputs'!AB32="","",'Model inputs'!AB32&gt;=1))),IF('Model inputs'!B24="","",'Model inputs'!B24),0)</f>
        <v>15.2</v>
      </c>
    </row>
    <row r="24">
      <c r="A24" t="inlineStr" s="18">
        <is>
          <t xml:space="preserve">Hosting per month</t>
        </is>
      </c>
      <c r="B24" s="14">
        <f>15.2</f>
        <v>15.2</v>
      </c>
    </row>
    <row r="25">
      <c r="A25" t="inlineStr" s="18">
        <is>
          <t xml:space="preserve">Included runs per month</t>
        </is>
      </c>
      <c r="B25" s="7">
        <v>0</v>
      </c>
    </row>
    <row r="26" outlineLevel="1">
      <c r="A26" t="inlineStr" s="20">
        <is>
          <t xml:space="preserve">Included runs per month &gt; Starter</t>
        </is>
      </c>
      <c r="B26" s="9">
        <f>8</f>
        <v>8</v>
      </c>
    </row>
    <row r="27" outlineLevel="1">
      <c r="A27" t="inlineStr" s="20">
        <is>
          <t xml:space="preserve">Included runs per month &gt; Team</t>
        </is>
      </c>
      <c r="B27" s="9">
        <f>40</f>
        <v>40</v>
      </c>
    </row>
    <row r="28">
      <c r="A28" t="inlineStr" s="18">
        <is>
          <t xml:space="preserve">LLM cost per run</t>
        </is>
      </c>
      <c r="B28" s="21">
        <f>0.0285</f>
        <v>0.0285</v>
      </c>
    </row>
    <row r="29">
      <c r="A29" t="inlineStr" s="18">
        <is>
          <t xml:space="preserve">LLM inference cost</t>
        </is>
      </c>
      <c r="C29" s="13">
        <f>SUM('Model inputs'!C30,'Model inputs'!C31)</f>
        <v>0</v>
      </c>
      <c r="D29" s="13">
        <f>SUM('Model inputs'!D30,'Model inputs'!D31)</f>
        <v>0</v>
      </c>
      <c r="E29" s="13">
        <f>SUM('Model inputs'!E30,'Model inputs'!E31)</f>
        <v>0</v>
      </c>
      <c r="F29" s="13">
        <f>SUM('Model inputs'!F30,'Model inputs'!F31)</f>
        <v>0</v>
      </c>
      <c r="G29" s="13">
        <f>SUM('Model inputs'!G30,'Model inputs'!G31)</f>
        <v>0</v>
      </c>
      <c r="H29" s="13">
        <f>SUM('Model inputs'!H30,'Model inputs'!H31)</f>
        <v>0.456</v>
      </c>
      <c r="I29" s="13">
        <f>SUM('Model inputs'!I30,'Model inputs'!I31)</f>
        <v>1.8240000000000003</v>
      </c>
      <c r="J29" s="13">
        <f>SUM('Model inputs'!J30,'Model inputs'!J31)</f>
        <v>2.2800000000000002</v>
      </c>
      <c r="K29" s="13">
        <f>SUM('Model inputs'!K30,'Model inputs'!K31)</f>
        <v>2.736</v>
      </c>
      <c r="L29" s="13">
        <f>SUM('Model inputs'!L30,'Model inputs'!L31)</f>
        <v>4.104</v>
      </c>
      <c r="M29" s="13">
        <f>SUM('Model inputs'!M30,'Model inputs'!M31)</f>
        <v>4.5600000000000005</v>
      </c>
      <c r="N29" s="13">
        <f>SUM('Model inputs'!N30,'Model inputs'!N31)</f>
        <v>5.016</v>
      </c>
      <c r="O29" s="13">
        <f>SUM('Model inputs'!O30,'Model inputs'!O31)</f>
        <v>6.384</v>
      </c>
      <c r="P29" s="13">
        <f>SUM('Model inputs'!P30,'Model inputs'!P31)</f>
        <v>6.84</v>
      </c>
      <c r="Q29" s="13">
        <f>SUM('Model inputs'!Q30,'Model inputs'!Q31)</f>
        <v>8.436</v>
      </c>
      <c r="R29" s="13">
        <f>SUM('Model inputs'!R30,'Model inputs'!R31)</f>
        <v>8.892</v>
      </c>
      <c r="S29" s="13">
        <f>SUM('Model inputs'!S30,'Model inputs'!S31)</f>
        <v>10.488</v>
      </c>
      <c r="T29" s="13">
        <f>SUM('Model inputs'!T30,'Model inputs'!T31)</f>
        <v>10.943999999999999</v>
      </c>
      <c r="U29" s="13">
        <f>SUM('Model inputs'!U30,'Model inputs'!U31)</f>
        <v>12.54</v>
      </c>
      <c r="V29" s="13">
        <f>SUM('Model inputs'!V30,'Model inputs'!V31)</f>
        <v>14.364</v>
      </c>
      <c r="W29" s="13">
        <f>SUM('Model inputs'!W30,'Model inputs'!W31)</f>
        <v>14.82</v>
      </c>
      <c r="X29" s="13">
        <f>SUM('Model inputs'!X30,'Model inputs'!X31)</f>
        <v>16.416</v>
      </c>
      <c r="Y29" s="13">
        <f>SUM('Model inputs'!Y30,'Model inputs'!Y31)</f>
        <v>16.872</v>
      </c>
      <c r="Z29" s="13">
        <f>SUM('Model inputs'!Z30,'Model inputs'!Z31)</f>
        <v>18.468</v>
      </c>
      <c r="AA29" s="13">
        <f>SUM('Model inputs'!AA30,'Model inputs'!AA31)</f>
        <v>18.924</v>
      </c>
      <c r="AB29" s="13">
        <f>SUM('Model inputs'!AB30,'Model inputs'!AB31)</f>
        <v>20.520000000000003</v>
      </c>
    </row>
    <row r="30" outlineLevel="1">
      <c r="A30" t="inlineStr" s="20">
        <is>
          <t xml:space="preserve">LLM inference cost &gt; Starter</t>
        </is>
      </c>
      <c r="C30" s="14">
        <f>0</f>
        <v>0</v>
      </c>
      <c r="D30" s="14">
        <f>'Model inputs'!D8*'Model inputs'!B28</f>
        <v>0</v>
      </c>
      <c r="E30" s="14">
        <f>'Model inputs'!E8*'Model inputs'!B28</f>
        <v>0</v>
      </c>
      <c r="F30" s="14">
        <f>'Model inputs'!F8*'Model inputs'!B28</f>
        <v>0</v>
      </c>
      <c r="G30" s="14">
        <f>'Model inputs'!G8*'Model inputs'!B28</f>
        <v>0</v>
      </c>
      <c r="H30" s="14">
        <f>'Model inputs'!H8*'Model inputs'!B28</f>
        <v>0.456</v>
      </c>
      <c r="I30" s="14">
        <f>'Model inputs'!I8*'Model inputs'!B28</f>
        <v>0.684</v>
      </c>
      <c r="J30" s="14">
        <f>'Model inputs'!J8*'Model inputs'!B28</f>
        <v>1.1400000000000001</v>
      </c>
      <c r="K30" s="14">
        <f>'Model inputs'!K8*'Model inputs'!B28</f>
        <v>1.596</v>
      </c>
      <c r="L30" s="14">
        <f>'Model inputs'!L8*'Model inputs'!B28</f>
        <v>1.824</v>
      </c>
      <c r="M30" s="14">
        <f>'Model inputs'!M8*'Model inputs'!B28</f>
        <v>2.2800000000000002</v>
      </c>
      <c r="N30" s="14">
        <f>'Model inputs'!N8*'Model inputs'!B28</f>
        <v>2.736</v>
      </c>
      <c r="O30" s="14">
        <f>'Model inputs'!O8*'Model inputs'!B28</f>
        <v>2.964</v>
      </c>
      <c r="P30" s="14">
        <f>'Model inputs'!P8*'Model inputs'!B28</f>
        <v>3.42</v>
      </c>
      <c r="Q30" s="14">
        <f>'Model inputs'!Q8*'Model inputs'!B28</f>
        <v>3.8760000000000003</v>
      </c>
      <c r="R30" s="14">
        <f>'Model inputs'!R8*'Model inputs'!B28</f>
        <v>4.332</v>
      </c>
      <c r="S30" s="14">
        <f>'Model inputs'!S8*'Model inputs'!B28</f>
        <v>4.788</v>
      </c>
      <c r="T30" s="14">
        <f>'Model inputs'!T8*'Model inputs'!B28</f>
        <v>5.244</v>
      </c>
      <c r="U30" s="14">
        <f>'Model inputs'!U8*'Model inputs'!B28</f>
        <v>5.7</v>
      </c>
      <c r="V30" s="14">
        <f>'Model inputs'!V8*'Model inputs'!B28</f>
        <v>6.384</v>
      </c>
      <c r="W30" s="14">
        <f>'Model inputs'!W8*'Model inputs'!B28</f>
        <v>6.84</v>
      </c>
      <c r="X30" s="14">
        <f>'Model inputs'!X8*'Model inputs'!B28</f>
        <v>7.296</v>
      </c>
      <c r="Y30" s="14">
        <f>'Model inputs'!Y8*'Model inputs'!B28</f>
        <v>7.752000000000001</v>
      </c>
      <c r="Z30" s="14">
        <f>'Model inputs'!Z8*'Model inputs'!B28</f>
        <v>8.208</v>
      </c>
      <c r="AA30" s="14">
        <f>'Model inputs'!AA8*'Model inputs'!B28</f>
        <v>8.664</v>
      </c>
      <c r="AB30" s="14">
        <f>'Model inputs'!AB8*'Model inputs'!B28</f>
        <v>9.120000000000001</v>
      </c>
    </row>
    <row r="31" outlineLevel="1">
      <c r="A31" t="inlineStr" s="20">
        <is>
          <t xml:space="preserve">LLM inference cost &gt; Team</t>
        </is>
      </c>
      <c r="C31" s="14">
        <f>0</f>
        <v>0</v>
      </c>
      <c r="D31" s="14">
        <f>'Model inputs'!D9*'Model inputs'!B28</f>
        <v>0</v>
      </c>
      <c r="E31" s="14">
        <f>'Model inputs'!E9*'Model inputs'!B28</f>
        <v>0</v>
      </c>
      <c r="F31" s="14">
        <f>'Model inputs'!F9*'Model inputs'!B28</f>
        <v>0</v>
      </c>
      <c r="G31" s="14">
        <f>'Model inputs'!G9*'Model inputs'!B28</f>
        <v>0</v>
      </c>
      <c r="H31" s="14">
        <f>'Model inputs'!H9*'Model inputs'!B28</f>
        <v>0</v>
      </c>
      <c r="I31" s="14">
        <f>'Model inputs'!I9*'Model inputs'!B28</f>
        <v>1.1400000000000001</v>
      </c>
      <c r="J31" s="14">
        <f>'Model inputs'!J9*'Model inputs'!B28</f>
        <v>1.1400000000000001</v>
      </c>
      <c r="K31" s="14">
        <f>'Model inputs'!K9*'Model inputs'!B28</f>
        <v>1.1400000000000001</v>
      </c>
      <c r="L31" s="14">
        <f>'Model inputs'!L9*'Model inputs'!B28</f>
        <v>2.2800000000000002</v>
      </c>
      <c r="M31" s="14">
        <f>'Model inputs'!M9*'Model inputs'!B28</f>
        <v>2.2800000000000002</v>
      </c>
      <c r="N31" s="14">
        <f>'Model inputs'!N9*'Model inputs'!B28</f>
        <v>2.2800000000000002</v>
      </c>
      <c r="O31" s="14">
        <f>'Model inputs'!O9*'Model inputs'!B28</f>
        <v>3.42</v>
      </c>
      <c r="P31" s="14">
        <f>'Model inputs'!P9*'Model inputs'!B28</f>
        <v>3.42</v>
      </c>
      <c r="Q31" s="14">
        <f>'Model inputs'!Q9*'Model inputs'!B28</f>
        <v>4.5600000000000005</v>
      </c>
      <c r="R31" s="14">
        <f>'Model inputs'!R9*'Model inputs'!B28</f>
        <v>4.5600000000000005</v>
      </c>
      <c r="S31" s="14">
        <f>'Model inputs'!S9*'Model inputs'!B28</f>
        <v>5.7</v>
      </c>
      <c r="T31" s="14">
        <f>'Model inputs'!T9*'Model inputs'!B28</f>
        <v>5.7</v>
      </c>
      <c r="U31" s="14">
        <f>'Model inputs'!U9*'Model inputs'!B28</f>
        <v>6.84</v>
      </c>
      <c r="V31" s="14">
        <f>'Model inputs'!V9*'Model inputs'!B28</f>
        <v>7.98</v>
      </c>
      <c r="W31" s="14">
        <f>'Model inputs'!W9*'Model inputs'!B28</f>
        <v>7.98</v>
      </c>
      <c r="X31" s="14">
        <f>'Model inputs'!X9*'Model inputs'!B28</f>
        <v>9.120000000000001</v>
      </c>
      <c r="Y31" s="14">
        <f>'Model inputs'!Y9*'Model inputs'!B28</f>
        <v>9.120000000000001</v>
      </c>
      <c r="Z31" s="14">
        <f>'Model inputs'!Z9*'Model inputs'!B28</f>
        <v>10.26</v>
      </c>
      <c r="AA31" s="14">
        <f>'Model inputs'!AA9*'Model inputs'!B28</f>
        <v>10.26</v>
      </c>
      <c r="AB31" s="14">
        <f>'Model inputs'!AB9*'Model inputs'!B28</f>
        <v>11.4</v>
      </c>
    </row>
    <row r="32">
      <c r="A32" t="inlineStr" s="18">
        <is>
          <t xml:space="preserve">Model month</t>
        </is>
      </c>
      <c r="C32" s="9">
        <v>0</v>
      </c>
      <c r="D32" s="9">
        <f>IFERROR(DATEDIF(DATE(2026,11,1),DATE(2026,10,1),"M")+1,0)</f>
        <v>0</v>
      </c>
      <c r="E32" s="9">
        <f>IFERROR(DATEDIF(DATE(2026,11,1),DATE(2026,11,1),"M")+1,0)</f>
        <v>1</v>
      </c>
      <c r="F32" s="9">
        <f>IFERROR(DATEDIF(DATE(2026,11,1),DATE(2026,12,1),"M")+1,0)</f>
        <v>2</v>
      </c>
      <c r="G32" s="9">
        <f>IFERROR(DATEDIF(DATE(2026,11,1),DATE(2027,1,1),"M")+1,0)</f>
        <v>3</v>
      </c>
      <c r="H32" s="9">
        <f>IFERROR(DATEDIF(DATE(2026,11,1),DATE(2027,2,1),"M")+1,0)</f>
        <v>4</v>
      </c>
      <c r="I32" s="9">
        <f>IFERROR(DATEDIF(DATE(2026,11,1),DATE(2027,3,1),"M")+1,0)</f>
        <v>5</v>
      </c>
      <c r="J32" s="9">
        <f>IFERROR(DATEDIF(DATE(2026,11,1),DATE(2027,4,1),"M")+1,0)</f>
        <v>6</v>
      </c>
      <c r="K32" s="9">
        <f>IFERROR(DATEDIF(DATE(2026,11,1),DATE(2027,5,1),"M")+1,0)</f>
        <v>7</v>
      </c>
      <c r="L32" s="9">
        <f>IFERROR(DATEDIF(DATE(2026,11,1),DATE(2027,6,1),"M")+1,0)</f>
        <v>8</v>
      </c>
      <c r="M32" s="9">
        <f>IFERROR(DATEDIF(DATE(2026,11,1),DATE(2027,7,1),"M")+1,0)</f>
        <v>9</v>
      </c>
      <c r="N32" s="9">
        <f>IFERROR(DATEDIF(DATE(2026,11,1),DATE(2027,8,1),"M")+1,0)</f>
        <v>10</v>
      </c>
      <c r="O32" s="9">
        <f>IFERROR(DATEDIF(DATE(2026,11,1),DATE(2027,9,1),"M")+1,0)</f>
        <v>11</v>
      </c>
      <c r="P32" s="9">
        <f>IFERROR(DATEDIF(DATE(2026,11,1),DATE(2027,10,1),"M")+1,0)</f>
        <v>12</v>
      </c>
      <c r="Q32" s="9">
        <f>IFERROR(DATEDIF(DATE(2026,11,1),DATE(2027,11,1),"M")+1,0)</f>
        <v>13</v>
      </c>
      <c r="R32" s="9">
        <f>IFERROR(DATEDIF(DATE(2026,11,1),DATE(2027,12,1),"M")+1,0)</f>
        <v>14</v>
      </c>
      <c r="S32" s="9">
        <f>IFERROR(DATEDIF(DATE(2026,11,1),DATE(2028,1,1),"M")+1,0)</f>
        <v>15</v>
      </c>
      <c r="T32" s="9">
        <f>IFERROR(DATEDIF(DATE(2026,11,1),DATE(2028,2,1),"M")+1,0)</f>
        <v>16</v>
      </c>
      <c r="U32" s="9">
        <f>IFERROR(DATEDIF(DATE(2026,11,1),DATE(2028,3,1),"M")+1,0)</f>
        <v>17</v>
      </c>
      <c r="V32" s="9">
        <f>IFERROR(DATEDIF(DATE(2026,11,1),DATE(2028,4,1),"M")+1,0)</f>
        <v>18</v>
      </c>
      <c r="W32" s="9">
        <f>IFERROR(DATEDIF(DATE(2026,11,1),DATE(2028,5,1),"M")+1,0)</f>
        <v>19</v>
      </c>
      <c r="X32" s="9">
        <f>IFERROR(DATEDIF(DATE(2026,11,1),DATE(2028,6,1),"M")+1,0)</f>
        <v>20</v>
      </c>
      <c r="Y32" s="9">
        <f>IFERROR(DATEDIF(DATE(2026,11,1),DATE(2028,7,1),"M")+1,0)</f>
        <v>21</v>
      </c>
      <c r="Z32" s="9">
        <f>IFERROR(DATEDIF(DATE(2026,11,1),DATE(2028,8,1),"M")+1,0)</f>
        <v>22</v>
      </c>
      <c r="AA32" s="9">
        <f>IFERROR(DATEDIF(DATE(2026,11,1),DATE(2028,9,1),"M")+1,0)</f>
        <v>23</v>
      </c>
      <c r="AB32" s="9">
        <f>IFERROR(DATEDIF(DATE(2026,11,1),DATE(2028,10,1),"M")+1,0)</f>
        <v>24</v>
      </c>
    </row>
    <row r="33">
      <c r="A33" t="inlineStr" s="18">
        <is>
          <t xml:space="preserve">Net cash flow</t>
        </is>
      </c>
      <c r="C33" s="12">
        <v>0</v>
      </c>
      <c r="D33" s="12">
        <f>'Model inputs'!D22-'Model inputs'!D35</f>
        <v>0</v>
      </c>
      <c r="E33" s="12">
        <f>'Model inputs'!E22-'Model inputs'!E35</f>
        <v>-2115.2</v>
      </c>
      <c r="F33" s="12">
        <f>'Model inputs'!F22-'Model inputs'!F35</f>
        <v>-2115.2</v>
      </c>
      <c r="G33" s="12">
        <f>'Model inputs'!G22-'Model inputs'!G35</f>
        <v>-2115.2</v>
      </c>
      <c r="H33" s="12">
        <f>'Model inputs'!H22-'Model inputs'!H35</f>
        <v>-1991.576</v>
      </c>
      <c r="I33" s="12">
        <f>'Model inputs'!I22-'Model inputs'!I35</f>
        <v>-1716.704</v>
      </c>
      <c r="J33" s="12">
        <f>'Model inputs'!J22-'Model inputs'!J35</f>
        <v>-1593.08</v>
      </c>
      <c r="K33" s="12">
        <f>'Model inputs'!K22-'Model inputs'!K35</f>
        <v>-1469.4560000000001</v>
      </c>
      <c r="L33" s="12">
        <f>'Model inputs'!L22-'Model inputs'!L35</f>
        <v>-1194.584</v>
      </c>
      <c r="M33" s="12">
        <f>'Model inputs'!M22-'Model inputs'!M35</f>
        <v>-1070.96</v>
      </c>
      <c r="N33" s="12">
        <f>'Model inputs'!N22-'Model inputs'!N35</f>
        <v>-947.336</v>
      </c>
      <c r="O33" s="12">
        <f>'Model inputs'!O22-'Model inputs'!O35</f>
        <v>-672.4640000000002</v>
      </c>
      <c r="P33" s="12">
        <f>'Model inputs'!P22-'Model inputs'!P35</f>
        <v>-548.8399999999999</v>
      </c>
      <c r="Q33" s="12">
        <f>'Model inputs'!Q22-'Model inputs'!Q35</f>
        <v>-212.15599999999995</v>
      </c>
      <c r="R33" s="12">
        <f>'Model inputs'!R22-'Model inputs'!R35</f>
        <v>-88.53200000000015</v>
      </c>
      <c r="S33" s="12">
        <f>'Model inputs'!S22-'Model inputs'!S35</f>
        <v>248.15200000000004</v>
      </c>
      <c r="T33" s="12">
        <f>'Model inputs'!T22-'Model inputs'!T35</f>
        <v>371.77599999999984</v>
      </c>
      <c r="U33" s="12">
        <f>'Model inputs'!U22-'Model inputs'!U35</f>
        <v>708.46</v>
      </c>
      <c r="V33" s="12">
        <f>'Model inputs'!V22-'Model inputs'!V35</f>
        <v>1106.9559999999997</v>
      </c>
      <c r="W33" s="12">
        <f>'Model inputs'!W22-'Model inputs'!W35</f>
        <v>1230.58</v>
      </c>
      <c r="X33" s="12">
        <f>'Model inputs'!X22-'Model inputs'!X35</f>
        <v>1567.2640000000001</v>
      </c>
      <c r="Y33" s="12">
        <f>'Model inputs'!Y22-'Model inputs'!Y35</f>
        <v>1690.8880000000004</v>
      </c>
      <c r="Z33" s="12">
        <f>'Model inputs'!Z22-'Model inputs'!Z35</f>
        <v>2027.5720000000001</v>
      </c>
      <c r="AA33" s="12">
        <f>'Model inputs'!AA22-'Model inputs'!AA35</f>
        <v>2151.196</v>
      </c>
      <c r="AB33" s="12">
        <f>'Model inputs'!AB22-'Model inputs'!AB35</f>
        <v>2487.88</v>
      </c>
    </row>
    <row r="34">
      <c r="A34" t="inlineStr" s="18">
        <is>
          <t xml:space="preserve">Onboarding hours per new customer</t>
        </is>
      </c>
      <c r="B34" s="9">
        <f>2</f>
        <v>2</v>
      </c>
    </row>
    <row r="35">
      <c r="A35" t="inlineStr" s="18">
        <is>
          <t xml:space="preserve">Operating expenses</t>
        </is>
      </c>
      <c r="C35" s="12">
        <v>0</v>
      </c>
      <c r="D35" s="12">
        <f>'Model inputs'!D20+'Model inputs'!D43</f>
        <v>0</v>
      </c>
      <c r="E35" s="12">
        <f>'Model inputs'!E20+'Model inputs'!E43</f>
        <v>2100</v>
      </c>
      <c r="F35" s="12">
        <f>'Model inputs'!F20+'Model inputs'!F43</f>
        <v>2100</v>
      </c>
      <c r="G35" s="12">
        <f>'Model inputs'!G20+'Model inputs'!G43</f>
        <v>2100</v>
      </c>
      <c r="H35" s="12">
        <f>'Model inputs'!H20+'Model inputs'!H43</f>
        <v>2100</v>
      </c>
      <c r="I35" s="12">
        <f>'Model inputs'!I20+'Model inputs'!I43</f>
        <v>2100</v>
      </c>
      <c r="J35" s="12">
        <f>'Model inputs'!J20+'Model inputs'!J43</f>
        <v>2100</v>
      </c>
      <c r="K35" s="12">
        <f>'Model inputs'!K20+'Model inputs'!K43</f>
        <v>2100</v>
      </c>
      <c r="L35" s="12">
        <f>'Model inputs'!L20+'Model inputs'!L43</f>
        <v>2100</v>
      </c>
      <c r="M35" s="12">
        <f>'Model inputs'!M20+'Model inputs'!M43</f>
        <v>2100</v>
      </c>
      <c r="N35" s="12">
        <f>'Model inputs'!N20+'Model inputs'!N43</f>
        <v>2100</v>
      </c>
      <c r="O35" s="12">
        <f>'Model inputs'!O20+'Model inputs'!O43</f>
        <v>2100</v>
      </c>
      <c r="P35" s="12">
        <f>'Model inputs'!P20+'Model inputs'!P43</f>
        <v>2100</v>
      </c>
      <c r="Q35" s="12">
        <f>'Model inputs'!Q20+'Model inputs'!Q43</f>
        <v>2100</v>
      </c>
      <c r="R35" s="12">
        <f>'Model inputs'!R20+'Model inputs'!R43</f>
        <v>2100</v>
      </c>
      <c r="S35" s="12">
        <f>'Model inputs'!S20+'Model inputs'!S43</f>
        <v>2100</v>
      </c>
      <c r="T35" s="12">
        <f>'Model inputs'!T20+'Model inputs'!T43</f>
        <v>2100</v>
      </c>
      <c r="U35" s="12">
        <f>'Model inputs'!U20+'Model inputs'!U43</f>
        <v>2100</v>
      </c>
      <c r="V35" s="12">
        <f>'Model inputs'!V20+'Model inputs'!V43</f>
        <v>2100</v>
      </c>
      <c r="W35" s="12">
        <f>'Model inputs'!W20+'Model inputs'!W43</f>
        <v>2100</v>
      </c>
      <c r="X35" s="12">
        <f>'Model inputs'!X20+'Model inputs'!X43</f>
        <v>2100</v>
      </c>
      <c r="Y35" s="12">
        <f>'Model inputs'!Y20+'Model inputs'!Y43</f>
        <v>2100</v>
      </c>
      <c r="Z35" s="12">
        <f>'Model inputs'!Z20+'Model inputs'!Z43</f>
        <v>2100</v>
      </c>
      <c r="AA35" s="12">
        <f>'Model inputs'!AA20+'Model inputs'!AA43</f>
        <v>2100</v>
      </c>
      <c r="AB35" s="12">
        <f>'Model inputs'!AB20+'Model inputs'!AB43</f>
        <v>2100</v>
      </c>
    </row>
    <row r="36">
      <c r="A36" t="inlineStr" s="18">
        <is>
          <t xml:space="preserve">Price per month</t>
        </is>
      </c>
      <c r="B36" s="11">
        <v>0</v>
      </c>
    </row>
    <row r="37" outlineLevel="1">
      <c r="A37" t="inlineStr" s="20">
        <is>
          <t xml:space="preserve">Price per month &gt; Starter</t>
        </is>
      </c>
      <c r="B37" s="12">
        <f>99</f>
        <v>99</v>
      </c>
    </row>
    <row r="38" outlineLevel="1">
      <c r="A38" t="inlineStr" s="20">
        <is>
          <t xml:space="preserve">Price per month &gt; Team</t>
        </is>
      </c>
      <c r="B38" s="12">
        <f>399</f>
        <v>399</v>
      </c>
    </row>
    <row r="39">
      <c r="A39" t="inlineStr" s="18">
        <is>
          <t xml:space="preserve">Revenue</t>
        </is>
      </c>
      <c r="C39" s="11">
        <f>SUM('Model inputs'!C40,'Model inputs'!C41)</f>
        <v>0</v>
      </c>
      <c r="D39" s="11">
        <f>SUM('Model inputs'!D40,'Model inputs'!D41)</f>
        <v>0</v>
      </c>
      <c r="E39" s="11">
        <f>SUM('Model inputs'!E40,'Model inputs'!E41)</f>
        <v>0</v>
      </c>
      <c r="F39" s="11">
        <f>SUM('Model inputs'!F40,'Model inputs'!F41)</f>
        <v>0</v>
      </c>
      <c r="G39" s="11">
        <f>SUM('Model inputs'!G40,'Model inputs'!G41)</f>
        <v>0</v>
      </c>
      <c r="H39" s="11">
        <f>SUM('Model inputs'!H40,'Model inputs'!H41)</f>
        <v>198</v>
      </c>
      <c r="I39" s="11">
        <f>SUM('Model inputs'!I40,'Model inputs'!I41)</f>
        <v>696</v>
      </c>
      <c r="J39" s="11">
        <f>SUM('Model inputs'!J40,'Model inputs'!J41)</f>
        <v>894</v>
      </c>
      <c r="K39" s="11">
        <f>SUM('Model inputs'!K40,'Model inputs'!K41)</f>
        <v>1092</v>
      </c>
      <c r="L39" s="11">
        <f>SUM('Model inputs'!L40,'Model inputs'!L41)</f>
        <v>1590</v>
      </c>
      <c r="M39" s="11">
        <f>SUM('Model inputs'!M40,'Model inputs'!M41)</f>
        <v>1788</v>
      </c>
      <c r="N39" s="11">
        <f>SUM('Model inputs'!N40,'Model inputs'!N41)</f>
        <v>1986</v>
      </c>
      <c r="O39" s="11">
        <f>SUM('Model inputs'!O40,'Model inputs'!O41)</f>
        <v>2484</v>
      </c>
      <c r="P39" s="11">
        <f>SUM('Model inputs'!P40,'Model inputs'!P41)</f>
        <v>2682</v>
      </c>
      <c r="Q39" s="11">
        <f>SUM('Model inputs'!Q40,'Model inputs'!Q41)</f>
        <v>3279</v>
      </c>
      <c r="R39" s="11">
        <f>SUM('Model inputs'!R40,'Model inputs'!R41)</f>
        <v>3477</v>
      </c>
      <c r="S39" s="11">
        <f>SUM('Model inputs'!S40,'Model inputs'!S41)</f>
        <v>4074</v>
      </c>
      <c r="T39" s="11">
        <f>SUM('Model inputs'!T40,'Model inputs'!T41)</f>
        <v>4272</v>
      </c>
      <c r="U39" s="11">
        <f>SUM('Model inputs'!U40,'Model inputs'!U41)</f>
        <v>4869</v>
      </c>
      <c r="V39" s="11">
        <f>SUM('Model inputs'!V40,'Model inputs'!V41)</f>
        <v>5565</v>
      </c>
      <c r="W39" s="11">
        <f>SUM('Model inputs'!W40,'Model inputs'!W41)</f>
        <v>5763</v>
      </c>
      <c r="X39" s="11">
        <f>SUM('Model inputs'!X40,'Model inputs'!X41)</f>
        <v>6360</v>
      </c>
      <c r="Y39" s="11">
        <f>SUM('Model inputs'!Y40,'Model inputs'!Y41)</f>
        <v>6558</v>
      </c>
      <c r="Z39" s="11">
        <f>SUM('Model inputs'!Z40,'Model inputs'!Z41)</f>
        <v>7155</v>
      </c>
      <c r="AA39" s="11">
        <f>SUM('Model inputs'!AA40,'Model inputs'!AA41)</f>
        <v>7353</v>
      </c>
      <c r="AB39" s="11">
        <f>SUM('Model inputs'!AB40,'Model inputs'!AB41)</f>
        <v>7950</v>
      </c>
    </row>
    <row r="40" outlineLevel="1">
      <c r="A40" t="inlineStr" s="20">
        <is>
          <t xml:space="preserve">Revenue &gt; Starter</t>
        </is>
      </c>
      <c r="C40" s="12">
        <f>0</f>
        <v>0</v>
      </c>
      <c r="D40" s="12">
        <f>'Model inputs'!D17*'Model inputs'!B37</f>
        <v>0</v>
      </c>
      <c r="E40" s="12">
        <f>'Model inputs'!E17*'Model inputs'!B37</f>
        <v>0</v>
      </c>
      <c r="F40" s="12">
        <f>'Model inputs'!F17*'Model inputs'!B37</f>
        <v>0</v>
      </c>
      <c r="G40" s="12">
        <f>'Model inputs'!G17*'Model inputs'!B37</f>
        <v>0</v>
      </c>
      <c r="H40" s="12">
        <f>'Model inputs'!H17*'Model inputs'!B37</f>
        <v>198</v>
      </c>
      <c r="I40" s="12">
        <f>'Model inputs'!I17*'Model inputs'!B37</f>
        <v>297</v>
      </c>
      <c r="J40" s="12">
        <f>'Model inputs'!J17*'Model inputs'!B37</f>
        <v>495</v>
      </c>
      <c r="K40" s="12">
        <f>'Model inputs'!K17*'Model inputs'!B37</f>
        <v>693</v>
      </c>
      <c r="L40" s="12">
        <f>'Model inputs'!L17*'Model inputs'!B37</f>
        <v>792</v>
      </c>
      <c r="M40" s="12">
        <f>'Model inputs'!M17*'Model inputs'!B37</f>
        <v>990</v>
      </c>
      <c r="N40" s="12">
        <f>'Model inputs'!N17*'Model inputs'!B37</f>
        <v>1188</v>
      </c>
      <c r="O40" s="12">
        <f>'Model inputs'!O17*'Model inputs'!B37</f>
        <v>1287</v>
      </c>
      <c r="P40" s="12">
        <f>'Model inputs'!P17*'Model inputs'!B37</f>
        <v>1485</v>
      </c>
      <c r="Q40" s="12">
        <f>'Model inputs'!Q17*'Model inputs'!B37</f>
        <v>1683</v>
      </c>
      <c r="R40" s="12">
        <f>'Model inputs'!R17*'Model inputs'!B37</f>
        <v>1881</v>
      </c>
      <c r="S40" s="12">
        <f>'Model inputs'!S17*'Model inputs'!B37</f>
        <v>2079</v>
      </c>
      <c r="T40" s="12">
        <f>'Model inputs'!T17*'Model inputs'!B37</f>
        <v>2277</v>
      </c>
      <c r="U40" s="12">
        <f>'Model inputs'!U17*'Model inputs'!B37</f>
        <v>2475</v>
      </c>
      <c r="V40" s="12">
        <f>'Model inputs'!V17*'Model inputs'!B37</f>
        <v>2772</v>
      </c>
      <c r="W40" s="12">
        <f>'Model inputs'!W17*'Model inputs'!B37</f>
        <v>2970</v>
      </c>
      <c r="X40" s="12">
        <f>'Model inputs'!X17*'Model inputs'!B37</f>
        <v>3168</v>
      </c>
      <c r="Y40" s="12">
        <f>'Model inputs'!Y17*'Model inputs'!B37</f>
        <v>3366</v>
      </c>
      <c r="Z40" s="12">
        <f>'Model inputs'!Z17*'Model inputs'!B37</f>
        <v>3564</v>
      </c>
      <c r="AA40" s="12">
        <f>'Model inputs'!AA17*'Model inputs'!B37</f>
        <v>3762</v>
      </c>
      <c r="AB40" s="12">
        <f>'Model inputs'!AB17*'Model inputs'!B37</f>
        <v>3960</v>
      </c>
    </row>
    <row r="41" outlineLevel="1">
      <c r="A41" t="inlineStr" s="20">
        <is>
          <t xml:space="preserve">Revenue &gt; Team</t>
        </is>
      </c>
      <c r="C41" s="12">
        <f>0</f>
        <v>0</v>
      </c>
      <c r="D41" s="12">
        <f>'Model inputs'!D18*'Model inputs'!B38</f>
        <v>0</v>
      </c>
      <c r="E41" s="12">
        <f>'Model inputs'!E18*'Model inputs'!B38</f>
        <v>0</v>
      </c>
      <c r="F41" s="12">
        <f>'Model inputs'!F18*'Model inputs'!B38</f>
        <v>0</v>
      </c>
      <c r="G41" s="12">
        <f>'Model inputs'!G18*'Model inputs'!B38</f>
        <v>0</v>
      </c>
      <c r="H41" s="12">
        <f>'Model inputs'!H18*'Model inputs'!B38</f>
        <v>0</v>
      </c>
      <c r="I41" s="12">
        <f>'Model inputs'!I18*'Model inputs'!B38</f>
        <v>399</v>
      </c>
      <c r="J41" s="12">
        <f>'Model inputs'!J18*'Model inputs'!B38</f>
        <v>399</v>
      </c>
      <c r="K41" s="12">
        <f>'Model inputs'!K18*'Model inputs'!B38</f>
        <v>399</v>
      </c>
      <c r="L41" s="12">
        <f>'Model inputs'!L18*'Model inputs'!B38</f>
        <v>798</v>
      </c>
      <c r="M41" s="12">
        <f>'Model inputs'!M18*'Model inputs'!B38</f>
        <v>798</v>
      </c>
      <c r="N41" s="12">
        <f>'Model inputs'!N18*'Model inputs'!B38</f>
        <v>798</v>
      </c>
      <c r="O41" s="12">
        <f>'Model inputs'!O18*'Model inputs'!B38</f>
        <v>1197</v>
      </c>
      <c r="P41" s="12">
        <f>'Model inputs'!P18*'Model inputs'!B38</f>
        <v>1197</v>
      </c>
      <c r="Q41" s="12">
        <f>'Model inputs'!Q18*'Model inputs'!B38</f>
        <v>1596</v>
      </c>
      <c r="R41" s="12">
        <f>'Model inputs'!R18*'Model inputs'!B38</f>
        <v>1596</v>
      </c>
      <c r="S41" s="12">
        <f>'Model inputs'!S18*'Model inputs'!B38</f>
        <v>1995</v>
      </c>
      <c r="T41" s="12">
        <f>'Model inputs'!T18*'Model inputs'!B38</f>
        <v>1995</v>
      </c>
      <c r="U41" s="12">
        <f>'Model inputs'!U18*'Model inputs'!B38</f>
        <v>2394</v>
      </c>
      <c r="V41" s="12">
        <f>'Model inputs'!V18*'Model inputs'!B38</f>
        <v>2793</v>
      </c>
      <c r="W41" s="12">
        <f>'Model inputs'!W18*'Model inputs'!B38</f>
        <v>2793</v>
      </c>
      <c r="X41" s="12">
        <f>'Model inputs'!X18*'Model inputs'!B38</f>
        <v>3192</v>
      </c>
      <c r="Y41" s="12">
        <f>'Model inputs'!Y18*'Model inputs'!B38</f>
        <v>3192</v>
      </c>
      <c r="Z41" s="12">
        <f>'Model inputs'!Z18*'Model inputs'!B38</f>
        <v>3591</v>
      </c>
      <c r="AA41" s="12">
        <f>'Model inputs'!AA18*'Model inputs'!B38</f>
        <v>3591</v>
      </c>
      <c r="AB41" s="12">
        <f>'Model inputs'!AB18*'Model inputs'!B38</f>
        <v>3990</v>
      </c>
    </row>
    <row r="42">
      <c r="A42" t="inlineStr" s="18">
        <is>
          <t xml:space="preserve">Starting cash</t>
        </is>
      </c>
      <c r="B42" s="12">
        <f>25000</f>
        <v>25000</v>
      </c>
    </row>
    <row r="43">
      <c r="A43" t="inlineStr" s="18">
        <is>
          <t xml:space="preserve">Tools and SaaS</t>
        </is>
      </c>
      <c r="C43" s="12">
        <v>0</v>
      </c>
      <c r="D43" s="12">
        <f>IF(IF(IF(ISERROR('Model inputs'!D32&gt;=1),'Model inputs'!D32&gt;=1,IF('Model inputs'!D32="","",'Model inputs'!D32&gt;=1))="",FALSE,IF(ISERROR('Model inputs'!D32&gt;=1),'Model inputs'!D32&gt;=1,IF('Model inputs'!D32="","",'Model inputs'!D32&gt;=1))),IF('Model inputs'!B44="","",'Model inputs'!B44),0)</f>
        <v>0</v>
      </c>
      <c r="E43" s="12">
        <f>IF(IF(IF(ISERROR('Model inputs'!E32&gt;=1),'Model inputs'!E32&gt;=1,IF('Model inputs'!E32="","",'Model inputs'!E32&gt;=1))="",FALSE,IF(ISERROR('Model inputs'!E32&gt;=1),'Model inputs'!E32&gt;=1,IF('Model inputs'!E32="","",'Model inputs'!E32&gt;=1))),IF('Model inputs'!B44="","",'Model inputs'!B44),0)</f>
        <v>100</v>
      </c>
      <c r="F43" s="12">
        <f>IF(IF(IF(ISERROR('Model inputs'!F32&gt;=1),'Model inputs'!F32&gt;=1,IF('Model inputs'!F32="","",'Model inputs'!F32&gt;=1))="",FALSE,IF(ISERROR('Model inputs'!F32&gt;=1),'Model inputs'!F32&gt;=1,IF('Model inputs'!F32="","",'Model inputs'!F32&gt;=1))),IF('Model inputs'!B44="","",'Model inputs'!B44),0)</f>
        <v>100</v>
      </c>
      <c r="G43" s="12">
        <f>IF(IF(IF(ISERROR('Model inputs'!G32&gt;=1),'Model inputs'!G32&gt;=1,IF('Model inputs'!G32="","",'Model inputs'!G32&gt;=1))="",FALSE,IF(ISERROR('Model inputs'!G32&gt;=1),'Model inputs'!G32&gt;=1,IF('Model inputs'!G32="","",'Model inputs'!G32&gt;=1))),IF('Model inputs'!B44="","",'Model inputs'!B44),0)</f>
        <v>100</v>
      </c>
      <c r="H43" s="12">
        <f>IF(IF(IF(ISERROR('Model inputs'!H32&gt;=1),'Model inputs'!H32&gt;=1,IF('Model inputs'!H32="","",'Model inputs'!H32&gt;=1))="",FALSE,IF(ISERROR('Model inputs'!H32&gt;=1),'Model inputs'!H32&gt;=1,IF('Model inputs'!H32="","",'Model inputs'!H32&gt;=1))),IF('Model inputs'!B44="","",'Model inputs'!B44),0)</f>
        <v>100</v>
      </c>
      <c r="I43" s="12">
        <f>IF(IF(IF(ISERROR('Model inputs'!I32&gt;=1),'Model inputs'!I32&gt;=1,IF('Model inputs'!I32="","",'Model inputs'!I32&gt;=1))="",FALSE,IF(ISERROR('Model inputs'!I32&gt;=1),'Model inputs'!I32&gt;=1,IF('Model inputs'!I32="","",'Model inputs'!I32&gt;=1))),IF('Model inputs'!B44="","",'Model inputs'!B44),0)</f>
        <v>100</v>
      </c>
      <c r="J43" s="12">
        <f>IF(IF(IF(ISERROR('Model inputs'!J32&gt;=1),'Model inputs'!J32&gt;=1,IF('Model inputs'!J32="","",'Model inputs'!J32&gt;=1))="",FALSE,IF(ISERROR('Model inputs'!J32&gt;=1),'Model inputs'!J32&gt;=1,IF('Model inputs'!J32="","",'Model inputs'!J32&gt;=1))),IF('Model inputs'!B44="","",'Model inputs'!B44),0)</f>
        <v>100</v>
      </c>
      <c r="K43" s="12">
        <f>IF(IF(IF(ISERROR('Model inputs'!K32&gt;=1),'Model inputs'!K32&gt;=1,IF('Model inputs'!K32="","",'Model inputs'!K32&gt;=1))="",FALSE,IF(ISERROR('Model inputs'!K32&gt;=1),'Model inputs'!K32&gt;=1,IF('Model inputs'!K32="","",'Model inputs'!K32&gt;=1))),IF('Model inputs'!B44="","",'Model inputs'!B44),0)</f>
        <v>100</v>
      </c>
      <c r="L43" s="12">
        <f>IF(IF(IF(ISERROR('Model inputs'!L32&gt;=1),'Model inputs'!L32&gt;=1,IF('Model inputs'!L32="","",'Model inputs'!L32&gt;=1))="",FALSE,IF(ISERROR('Model inputs'!L32&gt;=1),'Model inputs'!L32&gt;=1,IF('Model inputs'!L32="","",'Model inputs'!L32&gt;=1))),IF('Model inputs'!B44="","",'Model inputs'!B44),0)</f>
        <v>100</v>
      </c>
      <c r="M43" s="12">
        <f>IF(IF(IF(ISERROR('Model inputs'!M32&gt;=1),'Model inputs'!M32&gt;=1,IF('Model inputs'!M32="","",'Model inputs'!M32&gt;=1))="",FALSE,IF(ISERROR('Model inputs'!M32&gt;=1),'Model inputs'!M32&gt;=1,IF('Model inputs'!M32="","",'Model inputs'!M32&gt;=1))),IF('Model inputs'!B44="","",'Model inputs'!B44),0)</f>
        <v>100</v>
      </c>
      <c r="N43" s="12">
        <f>IF(IF(IF(ISERROR('Model inputs'!N32&gt;=1),'Model inputs'!N32&gt;=1,IF('Model inputs'!N32="","",'Model inputs'!N32&gt;=1))="",FALSE,IF(ISERROR('Model inputs'!N32&gt;=1),'Model inputs'!N32&gt;=1,IF('Model inputs'!N32="","",'Model inputs'!N32&gt;=1))),IF('Model inputs'!B44="","",'Model inputs'!B44),0)</f>
        <v>100</v>
      </c>
      <c r="O43" s="12">
        <f>IF(IF(IF(ISERROR('Model inputs'!O32&gt;=1),'Model inputs'!O32&gt;=1,IF('Model inputs'!O32="","",'Model inputs'!O32&gt;=1))="",FALSE,IF(ISERROR('Model inputs'!O32&gt;=1),'Model inputs'!O32&gt;=1,IF('Model inputs'!O32="","",'Model inputs'!O32&gt;=1))),IF('Model inputs'!B44="","",'Model inputs'!B44),0)</f>
        <v>100</v>
      </c>
      <c r="P43" s="12">
        <f>IF(IF(IF(ISERROR('Model inputs'!P32&gt;=1),'Model inputs'!P32&gt;=1,IF('Model inputs'!P32="","",'Model inputs'!P32&gt;=1))="",FALSE,IF(ISERROR('Model inputs'!P32&gt;=1),'Model inputs'!P32&gt;=1,IF('Model inputs'!P32="","",'Model inputs'!P32&gt;=1))),IF('Model inputs'!B44="","",'Model inputs'!B44),0)</f>
        <v>100</v>
      </c>
      <c r="Q43" s="12">
        <f>IF(IF(IF(ISERROR('Model inputs'!Q32&gt;=1),'Model inputs'!Q32&gt;=1,IF('Model inputs'!Q32="","",'Model inputs'!Q32&gt;=1))="",FALSE,IF(ISERROR('Model inputs'!Q32&gt;=1),'Model inputs'!Q32&gt;=1,IF('Model inputs'!Q32="","",'Model inputs'!Q32&gt;=1))),IF('Model inputs'!B44="","",'Model inputs'!B44),0)</f>
        <v>100</v>
      </c>
      <c r="R43" s="12">
        <f>IF(IF(IF(ISERROR('Model inputs'!R32&gt;=1),'Model inputs'!R32&gt;=1,IF('Model inputs'!R32="","",'Model inputs'!R32&gt;=1))="",FALSE,IF(ISERROR('Model inputs'!R32&gt;=1),'Model inputs'!R32&gt;=1,IF('Model inputs'!R32="","",'Model inputs'!R32&gt;=1))),IF('Model inputs'!B44="","",'Model inputs'!B44),0)</f>
        <v>100</v>
      </c>
      <c r="S43" s="12">
        <f>IF(IF(IF(ISERROR('Model inputs'!S32&gt;=1),'Model inputs'!S32&gt;=1,IF('Model inputs'!S32="","",'Model inputs'!S32&gt;=1))="",FALSE,IF(ISERROR('Model inputs'!S32&gt;=1),'Model inputs'!S32&gt;=1,IF('Model inputs'!S32="","",'Model inputs'!S32&gt;=1))),IF('Model inputs'!B44="","",'Model inputs'!B44),0)</f>
        <v>100</v>
      </c>
      <c r="T43" s="12">
        <f>IF(IF(IF(ISERROR('Model inputs'!T32&gt;=1),'Model inputs'!T32&gt;=1,IF('Model inputs'!T32="","",'Model inputs'!T32&gt;=1))="",FALSE,IF(ISERROR('Model inputs'!T32&gt;=1),'Model inputs'!T32&gt;=1,IF('Model inputs'!T32="","",'Model inputs'!T32&gt;=1))),IF('Model inputs'!B44="","",'Model inputs'!B44),0)</f>
        <v>100</v>
      </c>
      <c r="U43" s="12">
        <f>IF(IF(IF(ISERROR('Model inputs'!U32&gt;=1),'Model inputs'!U32&gt;=1,IF('Model inputs'!U32="","",'Model inputs'!U32&gt;=1))="",FALSE,IF(ISERROR('Model inputs'!U32&gt;=1),'Model inputs'!U32&gt;=1,IF('Model inputs'!U32="","",'Model inputs'!U32&gt;=1))),IF('Model inputs'!B44="","",'Model inputs'!B44),0)</f>
        <v>100</v>
      </c>
      <c r="V43" s="12">
        <f>IF(IF(IF(ISERROR('Model inputs'!V32&gt;=1),'Model inputs'!V32&gt;=1,IF('Model inputs'!V32="","",'Model inputs'!V32&gt;=1))="",FALSE,IF(ISERROR('Model inputs'!V32&gt;=1),'Model inputs'!V32&gt;=1,IF('Model inputs'!V32="","",'Model inputs'!V32&gt;=1))),IF('Model inputs'!B44="","",'Model inputs'!B44),0)</f>
        <v>100</v>
      </c>
      <c r="W43" s="12">
        <f>IF(IF(IF(ISERROR('Model inputs'!W32&gt;=1),'Model inputs'!W32&gt;=1,IF('Model inputs'!W32="","",'Model inputs'!W32&gt;=1))="",FALSE,IF(ISERROR('Model inputs'!W32&gt;=1),'Model inputs'!W32&gt;=1,IF('Model inputs'!W32="","",'Model inputs'!W32&gt;=1))),IF('Model inputs'!B44="","",'Model inputs'!B44),0)</f>
        <v>100</v>
      </c>
      <c r="X43" s="12">
        <f>IF(IF(IF(ISERROR('Model inputs'!X32&gt;=1),'Model inputs'!X32&gt;=1,IF('Model inputs'!X32="","",'Model inputs'!X32&gt;=1))="",FALSE,IF(ISERROR('Model inputs'!X32&gt;=1),'Model inputs'!X32&gt;=1,IF('Model inputs'!X32="","",'Model inputs'!X32&gt;=1))),IF('Model inputs'!B44="","",'Model inputs'!B44),0)</f>
        <v>100</v>
      </c>
      <c r="Y43" s="12">
        <f>IF(IF(IF(ISERROR('Model inputs'!Y32&gt;=1),'Model inputs'!Y32&gt;=1,IF('Model inputs'!Y32="","",'Model inputs'!Y32&gt;=1))="",FALSE,IF(ISERROR('Model inputs'!Y32&gt;=1),'Model inputs'!Y32&gt;=1,IF('Model inputs'!Y32="","",'Model inputs'!Y32&gt;=1))),IF('Model inputs'!B44="","",'Model inputs'!B44),0)</f>
        <v>100</v>
      </c>
      <c r="Z43" s="12">
        <f>IF(IF(IF(ISERROR('Model inputs'!Z32&gt;=1),'Model inputs'!Z32&gt;=1,IF('Model inputs'!Z32="","",'Model inputs'!Z32&gt;=1))="",FALSE,IF(ISERROR('Model inputs'!Z32&gt;=1),'Model inputs'!Z32&gt;=1,IF('Model inputs'!Z32="","",'Model inputs'!Z32&gt;=1))),IF('Model inputs'!B44="","",'Model inputs'!B44),0)</f>
        <v>100</v>
      </c>
      <c r="AA43" s="12">
        <f>IF(IF(IF(ISERROR('Model inputs'!AA32&gt;=1),'Model inputs'!AA32&gt;=1,IF('Model inputs'!AA32="","",'Model inputs'!AA32&gt;=1))="",FALSE,IF(ISERROR('Model inputs'!AA32&gt;=1),'Model inputs'!AA32&gt;=1,IF('Model inputs'!AA32="","",'Model inputs'!AA32&gt;=1))),IF('Model inputs'!B44="","",'Model inputs'!B44),0)</f>
        <v>100</v>
      </c>
      <c r="AB43" s="12">
        <f>IF(IF(IF(ISERROR('Model inputs'!AB32&gt;=1),'Model inputs'!AB32&gt;=1,IF('Model inputs'!AB32="","",'Model inputs'!AB32&gt;=1))="",FALSE,IF(ISERROR('Model inputs'!AB32&gt;=1),'Model inputs'!AB32&gt;=1,IF('Model inputs'!AB32="","",'Model inputs'!AB32&gt;=1))),IF('Model inputs'!B44="","",'Model inputs'!B44),0)</f>
        <v>100</v>
      </c>
    </row>
    <row r="44">
      <c r="A44" t="inlineStr" s="18">
        <is>
          <t xml:space="preserve">Tools and SaaS per month</t>
        </is>
      </c>
      <c r="B44" s="12">
        <f>100</f>
        <v>100</v>
      </c>
    </row>
    <row r="45">
      <c r="A45" t="inlineStr" s="18">
        <is>
          <t xml:space="preserve">Customers by month 12</t>
        </is>
      </c>
      <c r="B45" s="7">
        <v>0</v>
      </c>
    </row>
    <row r="46" outlineLevel="1">
      <c r="A46" t="inlineStr" s="20">
        <is>
          <t xml:space="preserve">Customers by month 12 &gt; Starter</t>
        </is>
      </c>
      <c r="B46" s="9">
        <f>15</f>
        <v>15</v>
      </c>
    </row>
    <row r="47" outlineLevel="1">
      <c r="A47" t="inlineStr" s="20">
        <is>
          <t xml:space="preserve">Customers by month 12 &gt; Team</t>
        </is>
      </c>
      <c r="B47" s="9">
        <f>3</f>
        <v>3</v>
      </c>
    </row>
    <row r="48">
      <c r="A48" t="inlineStr" s="18">
        <is>
          <t xml:space="preserve">Customers by month 24</t>
        </is>
      </c>
      <c r="B48" s="7">
        <v>0</v>
      </c>
    </row>
    <row r="49" outlineLevel="1">
      <c r="A49" t="inlineStr" s="20">
        <is>
          <t xml:space="preserve">Customers by month 24 &gt; Starter</t>
        </is>
      </c>
      <c r="B49" s="9">
        <f>40</f>
        <v>40</v>
      </c>
    </row>
    <row r="50" outlineLevel="1">
      <c r="A50" t="inlineStr" s="20">
        <is>
          <t xml:space="preserve">Customers by month 24 &gt; Team</t>
        </is>
      </c>
      <c r="B50" s="9">
        <f>10</f>
        <v>10</v>
      </c>
    </row>
    <row r="51">
      <c r="A51" t="inlineStr" s="18">
        <is>
          <t xml:space="preserve">Customers by month 3</t>
        </is>
      </c>
      <c r="B51" s="7">
        <v>0</v>
      </c>
    </row>
    <row r="52" outlineLevel="1">
      <c r="A52" t="inlineStr" s="20">
        <is>
          <t xml:space="preserve">Customers by month 3 &gt; Starter</t>
        </is>
      </c>
      <c r="B52" s="9">
        <f>0</f>
        <v>0</v>
      </c>
    </row>
    <row r="53" outlineLevel="1">
      <c r="A53" t="inlineStr" s="20">
        <is>
          <t xml:space="preserve">Customers by month 3 &gt; Team</t>
        </is>
      </c>
      <c r="B53" s="9">
        <f>0</f>
        <v>0</v>
      </c>
    </row>
    <row r="54">
      <c r="A54" t="inlineStr" s="18">
        <is>
          <t xml:space="preserve">Customers by month 6</t>
        </is>
      </c>
      <c r="B54" s="7">
        <v>0</v>
      </c>
    </row>
    <row r="55" outlineLevel="1">
      <c r="A55" t="inlineStr" s="20">
        <is>
          <t xml:space="preserve">Customers by month 6 &gt; Starter</t>
        </is>
      </c>
      <c r="B55" s="9">
        <f>5</f>
        <v>5</v>
      </c>
    </row>
    <row r="56" outlineLevel="1">
      <c r="A56" t="inlineStr" s="20">
        <is>
          <t xml:space="preserve">Customers by month 6 &gt; Team</t>
        </is>
      </c>
      <c r="B56" s="9">
        <f>1</f>
        <v>1</v>
      </c>
    </row>
    <row r="57">
      <c r="A57" t="inlineStr" s="18">
        <is>
          <t xml:space="preserve">New customers</t>
        </is>
      </c>
      <c r="E57" s="7">
        <f>SUM('Model inputs'!E58,'Model inputs'!E59)</f>
        <v>0</v>
      </c>
      <c r="F57" s="7">
        <f>SUM('Model inputs'!F58,'Model inputs'!F59)</f>
        <v>0</v>
      </c>
      <c r="G57" s="7">
        <f>SUM('Model inputs'!G58,'Model inputs'!G59)</f>
        <v>0</v>
      </c>
      <c r="H57" s="7">
        <f>SUM('Model inputs'!H58,'Model inputs'!H59)</f>
        <v>2</v>
      </c>
      <c r="I57" s="7">
        <f>SUM('Model inputs'!I58,'Model inputs'!I59)</f>
        <v>2</v>
      </c>
      <c r="J57" s="7">
        <f>SUM('Model inputs'!J58,'Model inputs'!J59)</f>
        <v>2</v>
      </c>
      <c r="K57" s="7">
        <f>SUM('Model inputs'!K58,'Model inputs'!K59)</f>
        <v>2</v>
      </c>
      <c r="L57" s="7">
        <f>SUM('Model inputs'!L58,'Model inputs'!L59)</f>
        <v>2</v>
      </c>
      <c r="M57" s="7">
        <f>SUM('Model inputs'!M58,'Model inputs'!M59)</f>
        <v>2</v>
      </c>
      <c r="N57" s="7">
        <f>SUM('Model inputs'!N58,'Model inputs'!N59)</f>
        <v>2</v>
      </c>
      <c r="O57" s="7">
        <f>SUM('Model inputs'!O58,'Model inputs'!O59)</f>
        <v>2</v>
      </c>
      <c r="P57" s="7">
        <f>SUM('Model inputs'!P58,'Model inputs'!P59)</f>
        <v>2</v>
      </c>
      <c r="Q57" s="7">
        <f>SUM('Model inputs'!Q58,'Model inputs'!Q59)</f>
        <v>3</v>
      </c>
      <c r="R57" s="7">
        <f>SUM('Model inputs'!R58,'Model inputs'!R59)</f>
        <v>2</v>
      </c>
      <c r="S57" s="7">
        <f>SUM('Model inputs'!S58,'Model inputs'!S59)</f>
        <v>3</v>
      </c>
      <c r="T57" s="7">
        <f>SUM('Model inputs'!T58,'Model inputs'!T59)</f>
        <v>2</v>
      </c>
      <c r="U57" s="7">
        <f>SUM('Model inputs'!U58,'Model inputs'!U59)</f>
        <v>3</v>
      </c>
      <c r="V57" s="7">
        <f>SUM('Model inputs'!V58,'Model inputs'!V59)</f>
        <v>4</v>
      </c>
      <c r="W57" s="7">
        <f>SUM('Model inputs'!W58,'Model inputs'!W59)</f>
        <v>2</v>
      </c>
      <c r="X57" s="7">
        <f>SUM('Model inputs'!X58,'Model inputs'!X59)</f>
        <v>3</v>
      </c>
      <c r="Y57" s="7">
        <f>SUM('Model inputs'!Y58,'Model inputs'!Y59)</f>
        <v>2</v>
      </c>
      <c r="Z57" s="7">
        <f>SUM('Model inputs'!Z58,'Model inputs'!Z59)</f>
        <v>3</v>
      </c>
      <c r="AA57" s="7">
        <f>SUM('Model inputs'!AA58,'Model inputs'!AA59)</f>
        <v>2</v>
      </c>
      <c r="AB57" s="7">
        <f>SUM('Model inputs'!AB58,'Model inputs'!AB59)</f>
        <v>3</v>
      </c>
    </row>
    <row r="58" outlineLevel="1">
      <c r="A58" t="inlineStr" s="20">
        <is>
          <t xml:space="preserve">New customers &gt; Starter</t>
        </is>
      </c>
      <c r="E58" s="9">
        <f>IF(IF('Model inputs'!E17-'Model inputs'!D17&gt;0="",FALSE,'Model inputs'!E17-'Model inputs'!D17&gt;0),'Model inputs'!E17-'Model inputs'!D17,0)</f>
        <v>0</v>
      </c>
      <c r="F58" s="9">
        <f>IF(IF('Model inputs'!F17-'Model inputs'!E17&gt;0="",FALSE,'Model inputs'!F17-'Model inputs'!E17&gt;0),'Model inputs'!F17-'Model inputs'!E17,0)</f>
        <v>0</v>
      </c>
      <c r="G58" s="9">
        <f>IF(IF('Model inputs'!G17-'Model inputs'!F17&gt;0="",FALSE,'Model inputs'!G17-'Model inputs'!F17&gt;0),'Model inputs'!G17-'Model inputs'!F17,0)</f>
        <v>0</v>
      </c>
      <c r="H58" s="9">
        <f>IF(IF('Model inputs'!H17-'Model inputs'!G17&gt;0="",FALSE,'Model inputs'!H17-'Model inputs'!G17&gt;0),'Model inputs'!H17-'Model inputs'!G17,0)</f>
        <v>2</v>
      </c>
      <c r="I58" s="9">
        <f>IF(IF('Model inputs'!I17-'Model inputs'!H17&gt;0="",FALSE,'Model inputs'!I17-'Model inputs'!H17&gt;0),'Model inputs'!I17-'Model inputs'!H17,0)</f>
        <v>1</v>
      </c>
      <c r="J58" s="9">
        <f>IF(IF('Model inputs'!J17-'Model inputs'!I17&gt;0="",FALSE,'Model inputs'!J17-'Model inputs'!I17&gt;0),'Model inputs'!J17-'Model inputs'!I17,0)</f>
        <v>2</v>
      </c>
      <c r="K58" s="9">
        <f>IF(IF('Model inputs'!K17-'Model inputs'!J17&gt;0="",FALSE,'Model inputs'!K17-'Model inputs'!J17&gt;0),'Model inputs'!K17-'Model inputs'!J17,0)</f>
        <v>2</v>
      </c>
      <c r="L58" s="9">
        <f>IF(IF('Model inputs'!L17-'Model inputs'!K17&gt;0="",FALSE,'Model inputs'!L17-'Model inputs'!K17&gt;0),'Model inputs'!L17-'Model inputs'!K17,0)</f>
        <v>1</v>
      </c>
      <c r="M58" s="9">
        <f>IF(IF('Model inputs'!M17-'Model inputs'!L17&gt;0="",FALSE,'Model inputs'!M17-'Model inputs'!L17&gt;0),'Model inputs'!M17-'Model inputs'!L17,0)</f>
        <v>2</v>
      </c>
      <c r="N58" s="9">
        <f>IF(IF('Model inputs'!N17-'Model inputs'!M17&gt;0="",FALSE,'Model inputs'!N17-'Model inputs'!M17&gt;0),'Model inputs'!N17-'Model inputs'!M17,0)</f>
        <v>2</v>
      </c>
      <c r="O58" s="9">
        <f>IF(IF('Model inputs'!O17-'Model inputs'!N17&gt;0="",FALSE,'Model inputs'!O17-'Model inputs'!N17&gt;0),'Model inputs'!O17-'Model inputs'!N17,0)</f>
        <v>1</v>
      </c>
      <c r="P58" s="9">
        <f>IF(IF('Model inputs'!P17-'Model inputs'!O17&gt;0="",FALSE,'Model inputs'!P17-'Model inputs'!O17&gt;0),'Model inputs'!P17-'Model inputs'!O17,0)</f>
        <v>2</v>
      </c>
      <c r="Q58" s="9">
        <f>IF(IF('Model inputs'!Q17-'Model inputs'!P17&gt;0="",FALSE,'Model inputs'!Q17-'Model inputs'!P17&gt;0),'Model inputs'!Q17-'Model inputs'!P17,0)</f>
        <v>2</v>
      </c>
      <c r="R58" s="9">
        <f>IF(IF('Model inputs'!R17-'Model inputs'!Q17&gt;0="",FALSE,'Model inputs'!R17-'Model inputs'!Q17&gt;0),'Model inputs'!R17-'Model inputs'!Q17,0)</f>
        <v>2</v>
      </c>
      <c r="S58" s="9">
        <f>IF(IF('Model inputs'!S17-'Model inputs'!R17&gt;0="",FALSE,'Model inputs'!S17-'Model inputs'!R17&gt;0),'Model inputs'!S17-'Model inputs'!R17,0)</f>
        <v>2</v>
      </c>
      <c r="T58" s="9">
        <f>IF(IF('Model inputs'!T17-'Model inputs'!S17&gt;0="",FALSE,'Model inputs'!T17-'Model inputs'!S17&gt;0),'Model inputs'!T17-'Model inputs'!S17,0)</f>
        <v>2</v>
      </c>
      <c r="U58" s="9">
        <f>IF(IF('Model inputs'!U17-'Model inputs'!T17&gt;0="",FALSE,'Model inputs'!U17-'Model inputs'!T17&gt;0),'Model inputs'!U17-'Model inputs'!T17,0)</f>
        <v>2</v>
      </c>
      <c r="V58" s="9">
        <f>IF(IF('Model inputs'!V17-'Model inputs'!U17&gt;0="",FALSE,'Model inputs'!V17-'Model inputs'!U17&gt;0),'Model inputs'!V17-'Model inputs'!U17,0)</f>
        <v>3</v>
      </c>
      <c r="W58" s="9">
        <f>IF(IF('Model inputs'!W17-'Model inputs'!V17&gt;0="",FALSE,'Model inputs'!W17-'Model inputs'!V17&gt;0),'Model inputs'!W17-'Model inputs'!V17,0)</f>
        <v>2</v>
      </c>
      <c r="X58" s="9">
        <f>IF(IF('Model inputs'!X17-'Model inputs'!W17&gt;0="",FALSE,'Model inputs'!X17-'Model inputs'!W17&gt;0),'Model inputs'!X17-'Model inputs'!W17,0)</f>
        <v>2</v>
      </c>
      <c r="Y58" s="9">
        <f>IF(IF('Model inputs'!Y17-'Model inputs'!X17&gt;0="",FALSE,'Model inputs'!Y17-'Model inputs'!X17&gt;0),'Model inputs'!Y17-'Model inputs'!X17,0)</f>
        <v>2</v>
      </c>
      <c r="Z58" s="9">
        <f>IF(IF('Model inputs'!Z17-'Model inputs'!Y17&gt;0="",FALSE,'Model inputs'!Z17-'Model inputs'!Y17&gt;0),'Model inputs'!Z17-'Model inputs'!Y17,0)</f>
        <v>2</v>
      </c>
      <c r="AA58" s="9">
        <f>IF(IF('Model inputs'!AA17-'Model inputs'!Z17&gt;0="",FALSE,'Model inputs'!AA17-'Model inputs'!Z17&gt;0),'Model inputs'!AA17-'Model inputs'!Z17,0)</f>
        <v>2</v>
      </c>
      <c r="AB58" s="9">
        <f>IF(IF('Model inputs'!AB17-'Model inputs'!AA17&gt;0="",FALSE,'Model inputs'!AB17-'Model inputs'!AA17&gt;0),'Model inputs'!AB17-'Model inputs'!AA17,0)</f>
        <v>2</v>
      </c>
    </row>
    <row r="59" outlineLevel="1">
      <c r="A59" t="inlineStr" s="20">
        <is>
          <t xml:space="preserve">New customers &gt; Team</t>
        </is>
      </c>
      <c r="E59" s="9">
        <f>IF(IF('Model inputs'!E18-'Model inputs'!D18&gt;0="",FALSE,'Model inputs'!E18-'Model inputs'!D18&gt;0),'Model inputs'!E18-'Model inputs'!D18,0)</f>
        <v>0</v>
      </c>
      <c r="F59" s="9">
        <f>IF(IF('Model inputs'!F18-'Model inputs'!E18&gt;0="",FALSE,'Model inputs'!F18-'Model inputs'!E18&gt;0),'Model inputs'!F18-'Model inputs'!E18,0)</f>
        <v>0</v>
      </c>
      <c r="G59" s="9">
        <f>IF(IF('Model inputs'!G18-'Model inputs'!F18&gt;0="",FALSE,'Model inputs'!G18-'Model inputs'!F18&gt;0),'Model inputs'!G18-'Model inputs'!F18,0)</f>
        <v>0</v>
      </c>
      <c r="H59" s="9">
        <f>IF(IF('Model inputs'!H18-'Model inputs'!G18&gt;0="",FALSE,'Model inputs'!H18-'Model inputs'!G18&gt;0),'Model inputs'!H18-'Model inputs'!G18,0)</f>
        <v>0</v>
      </c>
      <c r="I59" s="9">
        <f>IF(IF('Model inputs'!I18-'Model inputs'!H18&gt;0="",FALSE,'Model inputs'!I18-'Model inputs'!H18&gt;0),'Model inputs'!I18-'Model inputs'!H18,0)</f>
        <v>1</v>
      </c>
      <c r="J59" s="9">
        <f>IF(IF('Model inputs'!J18-'Model inputs'!I18&gt;0="",FALSE,'Model inputs'!J18-'Model inputs'!I18&gt;0),'Model inputs'!J18-'Model inputs'!I18,0)</f>
        <v>0</v>
      </c>
      <c r="K59" s="9">
        <f>IF(IF('Model inputs'!K18-'Model inputs'!J18&gt;0="",FALSE,'Model inputs'!K18-'Model inputs'!J18&gt;0),'Model inputs'!K18-'Model inputs'!J18,0)</f>
        <v>0</v>
      </c>
      <c r="L59" s="9">
        <f>IF(IF('Model inputs'!L18-'Model inputs'!K18&gt;0="",FALSE,'Model inputs'!L18-'Model inputs'!K18&gt;0),'Model inputs'!L18-'Model inputs'!K18,0)</f>
        <v>1</v>
      </c>
      <c r="M59" s="9">
        <f>IF(IF('Model inputs'!M18-'Model inputs'!L18&gt;0="",FALSE,'Model inputs'!M18-'Model inputs'!L18&gt;0),'Model inputs'!M18-'Model inputs'!L18,0)</f>
        <v>0</v>
      </c>
      <c r="N59" s="9">
        <f>IF(IF('Model inputs'!N18-'Model inputs'!M18&gt;0="",FALSE,'Model inputs'!N18-'Model inputs'!M18&gt;0),'Model inputs'!N18-'Model inputs'!M18,0)</f>
        <v>0</v>
      </c>
      <c r="O59" s="9">
        <f>IF(IF('Model inputs'!O18-'Model inputs'!N18&gt;0="",FALSE,'Model inputs'!O18-'Model inputs'!N18&gt;0),'Model inputs'!O18-'Model inputs'!N18,0)</f>
        <v>1</v>
      </c>
      <c r="P59" s="9">
        <f>IF(IF('Model inputs'!P18-'Model inputs'!O18&gt;0="",FALSE,'Model inputs'!P18-'Model inputs'!O18&gt;0),'Model inputs'!P18-'Model inputs'!O18,0)</f>
        <v>0</v>
      </c>
      <c r="Q59" s="9">
        <f>IF(IF('Model inputs'!Q18-'Model inputs'!P18&gt;0="",FALSE,'Model inputs'!Q18-'Model inputs'!P18&gt;0),'Model inputs'!Q18-'Model inputs'!P18,0)</f>
        <v>1</v>
      </c>
      <c r="R59" s="9">
        <f>IF(IF('Model inputs'!R18-'Model inputs'!Q18&gt;0="",FALSE,'Model inputs'!R18-'Model inputs'!Q18&gt;0),'Model inputs'!R18-'Model inputs'!Q18,0)</f>
        <v>0</v>
      </c>
      <c r="S59" s="9">
        <f>IF(IF('Model inputs'!S18-'Model inputs'!R18&gt;0="",FALSE,'Model inputs'!S18-'Model inputs'!R18&gt;0),'Model inputs'!S18-'Model inputs'!R18,0)</f>
        <v>1</v>
      </c>
      <c r="T59" s="9">
        <f>IF(IF('Model inputs'!T18-'Model inputs'!S18&gt;0="",FALSE,'Model inputs'!T18-'Model inputs'!S18&gt;0),'Model inputs'!T18-'Model inputs'!S18,0)</f>
        <v>0</v>
      </c>
      <c r="U59" s="9">
        <f>IF(IF('Model inputs'!U18-'Model inputs'!T18&gt;0="",FALSE,'Model inputs'!U18-'Model inputs'!T18&gt;0),'Model inputs'!U18-'Model inputs'!T18,0)</f>
        <v>1</v>
      </c>
      <c r="V59" s="9">
        <f>IF(IF('Model inputs'!V18-'Model inputs'!U18&gt;0="",FALSE,'Model inputs'!V18-'Model inputs'!U18&gt;0),'Model inputs'!V18-'Model inputs'!U18,0)</f>
        <v>1</v>
      </c>
      <c r="W59" s="9">
        <f>IF(IF('Model inputs'!W18-'Model inputs'!V18&gt;0="",FALSE,'Model inputs'!W18-'Model inputs'!V18&gt;0),'Model inputs'!W18-'Model inputs'!V18,0)</f>
        <v>0</v>
      </c>
      <c r="X59" s="9">
        <f>IF(IF('Model inputs'!X18-'Model inputs'!W18&gt;0="",FALSE,'Model inputs'!X18-'Model inputs'!W18&gt;0),'Model inputs'!X18-'Model inputs'!W18,0)</f>
        <v>1</v>
      </c>
      <c r="Y59" s="9">
        <f>IF(IF('Model inputs'!Y18-'Model inputs'!X18&gt;0="",FALSE,'Model inputs'!Y18-'Model inputs'!X18&gt;0),'Model inputs'!Y18-'Model inputs'!X18,0)</f>
        <v>0</v>
      </c>
      <c r="Z59" s="9">
        <f>IF(IF('Model inputs'!Z18-'Model inputs'!Y18&gt;0="",FALSE,'Model inputs'!Z18-'Model inputs'!Y18&gt;0),'Model inputs'!Z18-'Model inputs'!Y18,0)</f>
        <v>1</v>
      </c>
      <c r="AA59" s="9">
        <f>IF(IF('Model inputs'!AA18-'Model inputs'!Z18&gt;0="",FALSE,'Model inputs'!AA18-'Model inputs'!Z18&gt;0),'Model inputs'!AA18-'Model inputs'!Z18,0)</f>
        <v>0</v>
      </c>
      <c r="AB59" s="9">
        <f>IF(IF('Model inputs'!AB18-'Model inputs'!AA18&gt;0="",FALSE,'Model inputs'!AB18-'Model inputs'!AA18&gt;0),'Model inputs'!AB18-'Model inputs'!AA18,0)</f>
        <v>1</v>
      </c>
    </row>
    <row r="60">
      <c r="A60" t="inlineStr" s="18">
        <is>
          <t xml:space="preserve">Enrich calls per run · Crustdata cost per uncached run</t>
        </is>
      </c>
      <c r="B60" s="9">
        <f>5</f>
        <v>5</v>
      </c>
    </row>
    <row r="61">
      <c r="A61" t="inlineStr" s="18">
        <is>
          <t xml:space="preserve">Enrich price per record · Crustdata cost per uncached run</t>
        </is>
      </c>
      <c r="B61" s="14">
        <f>1.2</f>
        <v>1.2</v>
      </c>
    </row>
    <row r="62">
      <c r="A62" t="inlineStr" s="18">
        <is>
          <t xml:space="preserve">Search price per 1000 results · Crustdata cost per uncached run</t>
        </is>
      </c>
      <c r="B62" s="14">
        <f>9</f>
        <v>9</v>
      </c>
    </row>
    <row r="63">
      <c r="A63" t="inlineStr" s="18">
        <is>
          <t xml:space="preserve">Search results per run · Crustdata cost per uncached run</t>
        </is>
      </c>
      <c r="B63" s="9">
        <f>360</f>
        <v>360</v>
      </c>
    </row>
    <row r="65">
      <c r="A65" t="inlineStr" s="17">
        <is>
          <t xml:space="preserve">Dimensions</t>
        </is>
      </c>
    </row>
    <row r="66">
      <c r="A66" t="inlineStr" s="18">
        <is>
          <t xml:space="preserve">Plan Tier</t>
        </is>
      </c>
      <c r="B66" t="inlineStr" s="22">
        <is>
          <t xml:space="preserve">Starter</t>
        </is>
      </c>
      <c r="C66" t="inlineStr" s="22">
        <is>
          <t xml:space="preserve">Team</t>
        </is>
      </c>
    </row>
  </sheetData>
  <mergeCells count="2">
    <mergeCell ref="A1:AB1"/>
    <mergeCell ref="A2:AB2"/>
  </mergeCells>
</worksheet>
</file>