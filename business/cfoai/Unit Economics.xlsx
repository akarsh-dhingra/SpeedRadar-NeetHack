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Unit economics per customer" sheetId="1" r:id="rId1"/>
    <sheet name="Cache sensitivity" sheetId="2" r:id="rId2"/>
    <sheet name="Model inputs" sheetId="3" r:id="rId3"/>
  </sheets>
  <calcPr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&quot;$&quot;#,##0.00;(&quot;$&quot;#,##0.00)"/>
    <numFmt numFmtId="165" formatCode="#,##0.###;(#,##0.###)"/>
    <numFmt numFmtId="166" formatCode="0.0%"/>
    <numFmt numFmtId="167" formatCode="0%"/>
    <numFmt numFmtId="168" formatCode="&quot;$&quot;#,##0.0000;(&quot;$&quot;#,##0.0000)"/>
    <numFmt numFmtId="169" formatCode="&quot;$&quot;#,##0;(&quot;$&quot;#,##0)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6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0" fontId="3" fillId="4" borderId="1" xfId="0" applyFill="1" applyFont="1" applyBorder="1"/>
    <xf numFmtId="0" fontId="3" fillId="5" borderId="0" xfId="0" applyFill="1" applyFont="1" applyAlignment="1">
      <alignment vertical="center" horizontal="left"/>
    </xf>
    <xf numFmtId="167" fontId="0" fillId="0" borderId="0" xfId="0" applyNumberFormat="1" applyAlignment="1">
      <alignment vertical="center" horizontal="right"/>
    </xf>
    <xf numFmtId="164" fontId="0" fillId="0" borderId="0" xfId="0" applyNumberFormat="1" applyAlignment="1">
      <alignment vertical="center" horizontal="right"/>
    </xf>
    <xf numFmtId="0" fontId="0" fillId="5" borderId="0" xfId="0" applyFill="1" applyAlignment="1">
      <alignment vertical="center" horizontal="left" indent="1"/>
    </xf>
    <xf numFmtId="165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169" fontId="0" fillId="0" borderId="0" xfId="0" applyNumberFormat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H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</cols>
  <sheetData>
    <row r="1" ht="32" customHeight="1">
      <c r="A1" t="inlineStr" s="1">
        <is>
          <t xml:space="preserve">Unit economics per customer</t>
        </is>
      </c>
    </row>
    <row r="2" ht="20" customHeight="1">
      <c r="A2" t="inlineStr" s="2">
        <is>
          <t xml:space="preserve">Unit Economics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Revenue per customer</t>
        </is>
      </c>
      <c r="C4" t="inlineStr" s="4">
        <is>
          <t xml:space="preserve">Runs per customer</t>
        </is>
      </c>
      <c r="D4" t="inlineStr" s="4">
        <is>
          <t xml:space="preserve">LLM cost per customer</t>
        </is>
      </c>
      <c r="E4" t="inlineStr" s="4">
        <is>
          <t xml:space="preserve">Crustdata cost per customer</t>
        </is>
      </c>
      <c r="F4" t="inlineStr" s="4">
        <is>
          <t xml:space="preserve">Variable COGS per customer</t>
        </is>
      </c>
      <c r="G4" t="inlineStr" s="4">
        <is>
          <t xml:space="preserve">Gross profit per customer</t>
        </is>
      </c>
      <c r="H4" t="inlineStr" s="4">
        <is>
          <t xml:space="preserve">Gross margin per customer</t>
        </is>
      </c>
    </row>
    <row r="5">
      <c r="A5" t="inlineStr" s="5">
        <is>
          <t xml:space="preserve">Starter</t>
        </is>
      </c>
      <c r="B5" s="6">
        <f>IF('Model inputs'!B14="","",'Model inputs'!B14)</f>
        <v>99</v>
      </c>
      <c r="C5" s="7">
        <f>'Model inputs'!B10*'Model inputs'!B6</f>
        <v>8</v>
      </c>
      <c r="D5" s="6">
        <f>'Unit economics per customer'!C5*'Model inputs'!B12</f>
        <v>0.228</v>
      </c>
      <c r="E5" s="6">
        <f>'Unit economics per customer'!C5*(1-'Model inputs'!B7)*'Model inputs'!B8</f>
        <v>36.96</v>
      </c>
      <c r="F5" s="6">
        <f>'Unit economics per customer'!D5+'Unit economics per customer'!E5</f>
        <v>37.188</v>
      </c>
      <c r="G5" s="6">
        <f>'Unit economics per customer'!B5-'Unit economics per customer'!F5</f>
        <v>61.812</v>
      </c>
      <c r="H5" s="8">
        <f>IFERROR('Unit economics per customer'!G5/'Unit economics per customer'!B5,"")</f>
        <v>0.6243636363636363</v>
      </c>
    </row>
    <row r="6">
      <c r="A6" t="inlineStr" s="5">
        <is>
          <t xml:space="preserve">Team</t>
        </is>
      </c>
      <c r="B6" s="6">
        <f>IF('Model inputs'!B15="","",'Model inputs'!B15)</f>
        <v>399</v>
      </c>
      <c r="C6" s="7">
        <f>'Model inputs'!B11*'Model inputs'!B6</f>
        <v>40</v>
      </c>
      <c r="D6" s="6">
        <f>'Unit economics per customer'!C6*'Model inputs'!B12</f>
        <v>1.1400000000000001</v>
      </c>
      <c r="E6" s="6">
        <f>'Unit economics per customer'!C6*(1-'Model inputs'!B7)*'Model inputs'!B8</f>
        <v>184.8</v>
      </c>
      <c r="F6" s="6">
        <f>'Unit economics per customer'!D6+'Unit economics per customer'!E6</f>
        <v>185.94</v>
      </c>
      <c r="G6" s="6">
        <f>'Unit economics per customer'!B6-'Unit economics per customer'!F6</f>
        <v>213.06</v>
      </c>
      <c r="H6" s="8">
        <f>IFERROR('Unit economics per customer'!G6/'Unit economics per customer'!B6,"")</f>
        <v>0.533984962406015</v>
      </c>
    </row>
  </sheetData>
  <mergeCells count="1">
    <mergeCell ref="A1:H1"/>
  </mergeCells>
</worksheet>
</file>

<file path=xl/worksheets/sheet2.xml><?xml version="1.0" encoding="utf-8"?>
<worksheet xmlns="http://schemas.openxmlformats.org/spreadsheetml/2006/main">
  <dimension ref="A1:E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</cols>
  <sheetData>
    <row r="1" ht="32" customHeight="1">
      <c r="A1" t="inlineStr" s="1">
        <is>
          <t xml:space="preserve">Cache sensitivity</t>
        </is>
      </c>
    </row>
    <row r="2" ht="20" customHeight="1">
      <c r="A2" t="inlineStr" s="2">
        <is>
          <t xml:space="preserve">Unit Economics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COGS per customer at 0% cached</t>
        </is>
      </c>
      <c r="C4" t="inlineStr" s="4">
        <is>
          <t xml:space="preserve">Gross margin at 0% cached</t>
        </is>
      </c>
      <c r="D4" t="inlineStr" s="4">
        <is>
          <t xml:space="preserve">COGS per customer at 50% cached</t>
        </is>
      </c>
      <c r="E4" t="inlineStr" s="4">
        <is>
          <t xml:space="preserve">Gross margin at 50% cached</t>
        </is>
      </c>
    </row>
    <row r="5">
      <c r="A5" t="inlineStr" s="5">
        <is>
          <t xml:space="preserve">Starter</t>
        </is>
      </c>
      <c r="B5" s="6">
        <f>'Unit economics per customer'!C5*('Model inputs'!B12+(1-'Model inputs'!B17)*'Model inputs'!B8)</f>
        <v>74.148</v>
      </c>
      <c r="C5" s="8">
        <f>IFERROR(('Unit economics per customer'!B5-'Cache sensitivity'!B5)/'Unit economics per customer'!B5,"")</f>
        <v>0.25103030303030305</v>
      </c>
      <c r="D5" s="6">
        <f>'Unit economics per customer'!C5*('Model inputs'!B12+(1-'Model inputs'!B16)*'Model inputs'!B8)</f>
        <v>37.188</v>
      </c>
      <c r="E5" s="8">
        <f>IFERROR(('Unit economics per customer'!B5-'Cache sensitivity'!D5)/'Unit economics per customer'!B5,"")</f>
        <v>0.6243636363636363</v>
      </c>
    </row>
    <row r="6">
      <c r="A6" t="inlineStr" s="5">
        <is>
          <t xml:space="preserve">Team</t>
        </is>
      </c>
      <c r="B6" s="6">
        <f>'Unit economics per customer'!C6*('Model inputs'!B12+(1-'Model inputs'!B17)*'Model inputs'!B8)</f>
        <v>370.74</v>
      </c>
      <c r="C6" s="8">
        <f>IFERROR(('Unit economics per customer'!B6-'Cache sensitivity'!B6)/'Unit economics per customer'!B6,"")</f>
        <v>0.0708270676691729</v>
      </c>
      <c r="D6" s="6">
        <f>'Unit economics per customer'!C6*('Model inputs'!B12+(1-'Model inputs'!B16)*'Model inputs'!B8)</f>
        <v>185.94</v>
      </c>
      <c r="E6" s="8">
        <f>IFERROR(('Unit economics per customer'!B6-'Cache sensitivity'!D6)/'Unit economics per customer'!B6,"")</f>
        <v>0.533984962406015</v>
      </c>
    </row>
  </sheetData>
  <mergeCells count="1">
    <mergeCell ref="A1:E1"/>
  </mergeCells>
</worksheet>
</file>

<file path=xl/worksheets/sheet3.xml><?xml version="1.0" encoding="utf-8"?>
<worksheet xmlns="http://schemas.openxmlformats.org/spreadsheetml/2006/main">
  <dimension ref="A1:B21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9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</row>
    <row r="6">
      <c r="A6" t="inlineStr" s="10">
        <is>
          <t xml:space="preserve">Allowance utilization</t>
        </is>
      </c>
      <c r="B6" s="11">
        <f>1</f>
        <v>1</v>
      </c>
    </row>
    <row r="7">
      <c r="A7" t="inlineStr" s="10">
        <is>
          <t xml:space="preserve">Cache hit rate</t>
        </is>
      </c>
      <c r="B7" s="11">
        <f>0.5</f>
        <v>0.5</v>
      </c>
    </row>
    <row r="8">
      <c r="A8" t="inlineStr" s="10">
        <is>
          <t xml:space="preserve">Crustdata cost per uncached run</t>
        </is>
      </c>
      <c r="B8" s="12">
        <f>'Model inputs'!B18*'Model inputs'!B19+'Model inputs'!B21*'Model inputs'!B20/1000</f>
        <v>9.24</v>
      </c>
    </row>
    <row r="9">
      <c r="A9" t="inlineStr" s="10">
        <is>
          <t xml:space="preserve">Included runs per month</t>
        </is>
      </c>
      <c r="B9" s="7">
        <v>0</v>
      </c>
    </row>
    <row r="10" outlineLevel="1">
      <c r="A10" t="inlineStr" s="13">
        <is>
          <t xml:space="preserve">Included runs per month &gt; Starter</t>
        </is>
      </c>
      <c r="B10" s="14">
        <f>8</f>
        <v>8</v>
      </c>
    </row>
    <row r="11" outlineLevel="1">
      <c r="A11" t="inlineStr" s="13">
        <is>
          <t xml:space="preserve">Included runs per month &gt; Team</t>
        </is>
      </c>
      <c r="B11" s="14">
        <f>40</f>
        <v>40</v>
      </c>
    </row>
    <row r="12">
      <c r="A12" t="inlineStr" s="10">
        <is>
          <t xml:space="preserve">LLM cost per run</t>
        </is>
      </c>
      <c r="B12" s="15">
        <f>0.0285</f>
        <v>0.0285</v>
      </c>
    </row>
    <row r="13">
      <c r="A13" t="inlineStr" s="10">
        <is>
          <t xml:space="preserve">Price per month</t>
        </is>
      </c>
      <c r="B13" s="16">
        <v>0</v>
      </c>
    </row>
    <row r="14" outlineLevel="1">
      <c r="A14" t="inlineStr" s="13">
        <is>
          <t xml:space="preserve">Price per month &gt; Starter</t>
        </is>
      </c>
      <c r="B14" s="17">
        <f>99</f>
        <v>99</v>
      </c>
    </row>
    <row r="15" outlineLevel="1">
      <c r="A15" t="inlineStr" s="13">
        <is>
          <t xml:space="preserve">Price per month &gt; Team</t>
        </is>
      </c>
      <c r="B15" s="17">
        <f>399</f>
        <v>399</v>
      </c>
    </row>
    <row r="16">
      <c r="A16" t="inlineStr" s="10">
        <is>
          <t xml:space="preserve">Sensitivity cache rate high</t>
        </is>
      </c>
      <c r="B16" s="11">
        <f>0.5</f>
        <v>0.5</v>
      </c>
    </row>
    <row r="17">
      <c r="A17" t="inlineStr" s="10">
        <is>
          <t xml:space="preserve">Sensitivity cache rate low</t>
        </is>
      </c>
      <c r="B17" s="11">
        <f>0</f>
        <v>0</v>
      </c>
    </row>
    <row r="18">
      <c r="A18" t="inlineStr" s="10">
        <is>
          <t xml:space="preserve">Enrich calls per run</t>
        </is>
      </c>
      <c r="B18" s="14">
        <f>5</f>
        <v>5</v>
      </c>
    </row>
    <row r="19">
      <c r="A19" t="inlineStr" s="10">
        <is>
          <t xml:space="preserve">Enrich price per record</t>
        </is>
      </c>
      <c r="B19" s="12">
        <f>1.2</f>
        <v>1.2</v>
      </c>
    </row>
    <row r="20">
      <c r="A20" t="inlineStr" s="10">
        <is>
          <t xml:space="preserve">Search price per 1000 results</t>
        </is>
      </c>
      <c r="B20" s="12">
        <f>9</f>
        <v>9</v>
      </c>
    </row>
    <row r="21">
      <c r="A21" t="inlineStr" s="10">
        <is>
          <t xml:space="preserve">Search results per run</t>
        </is>
      </c>
      <c r="B21" s="14">
        <f>360</f>
        <v>360</v>
      </c>
    </row>
  </sheetData>
  <mergeCells count="2">
    <mergeCell ref="A1:B1"/>
    <mergeCell ref="A2:B2"/>
  </mergeCells>
</worksheet>
</file>