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ompany assumptions" sheetId="1" r:id="rId1"/>
    <sheet name="Tier assumptions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&quot;$&quot;#,##0.0000;(&quot;$&quot;#,##0.0000)"/>
    <numFmt numFmtId="165" formatCode="#,##0.###;(#,##0.###)"/>
    <numFmt numFmtId="166" formatCode="&quot;$&quot;#,##0.00;(&quot;$&quot;#,##0.00)"/>
    <numFmt numFmtId="167" formatCode="0%"/>
    <numFmt numFmtId="168" formatCode="&quot;$&quot;#,##0;(&quot;$&quot;#,##0)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5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4" fontId="0" fillId="0" borderId="0" xfId="0" applyNumberFormat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B21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Company assumptions</t>
        </is>
      </c>
    </row>
    <row r="2" ht="20" customHeight="1">
      <c r="A2" t="inlineStr" s="2">
        <is>
          <t xml:space="preserve">Assumptions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LLM cost per run</t>
        </is>
      </c>
      <c r="B5" s="6">
        <f>0.0285</f>
        <v>0.0285</v>
      </c>
    </row>
    <row r="6">
      <c r="A6" t="inlineStr" s="7">
        <is>
          <t xml:space="preserve">Enrich calls per run</t>
        </is>
      </c>
      <c r="B6" s="8">
        <f>5</f>
        <v>5</v>
      </c>
    </row>
    <row r="7">
      <c r="A7" t="inlineStr" s="7">
        <is>
          <t xml:space="preserve">Enrich price per record</t>
        </is>
      </c>
      <c r="B7" s="9">
        <f>1.2</f>
        <v>1.2</v>
      </c>
    </row>
    <row r="8">
      <c r="A8" t="inlineStr" s="7">
        <is>
          <t xml:space="preserve">Search results per run</t>
        </is>
      </c>
      <c r="B8" s="8">
        <f>360</f>
        <v>360</v>
      </c>
    </row>
    <row r="9">
      <c r="A9" t="inlineStr" s="7">
        <is>
          <t xml:space="preserve">Search price per 1000 results</t>
        </is>
      </c>
      <c r="B9" s="9">
        <f>9</f>
        <v>9</v>
      </c>
    </row>
    <row r="10">
      <c r="A10" t="inlineStr" s="7">
        <is>
          <t xml:space="preserve">Crustdata cost per uncached run</t>
        </is>
      </c>
      <c r="B10" s="9">
        <f>'Company assumptions'!B6*'Company assumptions'!B7+'Company assumptions'!B8*'Company assumptions'!B9/1000</f>
        <v>9.24</v>
      </c>
    </row>
    <row r="11">
      <c r="A11" t="inlineStr" s="7">
        <is>
          <t xml:space="preserve">Cache hit rate</t>
        </is>
      </c>
      <c r="B11" s="10">
        <f>0.5</f>
        <v>0.5</v>
      </c>
    </row>
    <row r="12">
      <c r="A12" t="inlineStr" s="7">
        <is>
          <t xml:space="preserve">Blended cost per run</t>
        </is>
      </c>
      <c r="B12" s="11">
        <f>'Company assumptions'!B5+(1-'Company assumptions'!B11)*'Company assumptions'!B10</f>
        <v>4.6485</v>
      </c>
    </row>
    <row r="13">
      <c r="A13" t="inlineStr" s="7">
        <is>
          <t xml:space="preserve">Allowance utilization</t>
        </is>
      </c>
      <c r="B13" s="10">
        <f>1</f>
        <v>1</v>
      </c>
    </row>
    <row r="14">
      <c r="A14" t="inlineStr" s="7">
        <is>
          <t xml:space="preserve">Hosting per month</t>
        </is>
      </c>
      <c r="B14" s="9">
        <f>15.2</f>
        <v>15.2</v>
      </c>
    </row>
    <row r="15">
      <c r="A15" t="inlineStr" s="7">
        <is>
          <t xml:space="preserve">Founder salary per month</t>
        </is>
      </c>
      <c r="B15" s="12">
        <f>2000</f>
        <v>2000</v>
      </c>
    </row>
    <row r="16">
      <c r="A16" t="inlineStr" s="7">
        <is>
          <t xml:space="preserve">Tools and SaaS per month</t>
        </is>
      </c>
      <c r="B16" s="12">
        <f>100</f>
        <v>100</v>
      </c>
    </row>
    <row r="17">
      <c r="A17" t="inlineStr" s="7">
        <is>
          <t xml:space="preserve">Onboarding hours per new customer</t>
        </is>
      </c>
      <c r="B17" s="8">
        <f>2</f>
        <v>2</v>
      </c>
    </row>
    <row r="18">
      <c r="A18" t="inlineStr" s="7">
        <is>
          <t xml:space="preserve">Starting cash</t>
        </is>
      </c>
      <c r="B18" s="12">
        <f>25000</f>
        <v>25000</v>
      </c>
    </row>
    <row r="19">
      <c r="A19" t="inlineStr" s="7">
        <is>
          <t xml:space="preserve">Sensitivity cache rate low</t>
        </is>
      </c>
      <c r="B19" s="10">
        <f>0</f>
        <v>0</v>
      </c>
    </row>
    <row r="20">
      <c r="A20" t="inlineStr" s="7">
        <is>
          <t xml:space="preserve">Sensitivity cache rate high</t>
        </is>
      </c>
      <c r="B20" s="10">
        <f>0.5</f>
        <v>0.5</v>
      </c>
    </row>
    <row r="21">
      <c r="A21" t="inlineStr" s="5">
        <is>
          <t xml:space="preserve">Embedded monthly churn (info only)</t>
        </is>
      </c>
      <c r="B21" s="13">
        <f>0.03</f>
        <v>0.03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G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</cols>
  <sheetData>
    <row r="1" ht="32" customHeight="1">
      <c r="A1" t="inlineStr" s="1">
        <is>
          <t xml:space="preserve">Tier assumptions</t>
        </is>
      </c>
    </row>
    <row r="2" ht="20" customHeight="1">
      <c r="A2" t="inlineStr" s="2">
        <is>
          <t xml:space="preserve">Assumptions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Price per month</t>
        </is>
      </c>
      <c r="C4" t="inlineStr" s="4">
        <is>
          <t xml:space="preserve">Included runs per month</t>
        </is>
      </c>
      <c r="D4" t="inlineStr" s="4">
        <is>
          <t xml:space="preserve">Customers by month 3</t>
        </is>
      </c>
      <c r="E4" t="inlineStr" s="4">
        <is>
          <t xml:space="preserve">Customers by month 6</t>
        </is>
      </c>
      <c r="F4" t="inlineStr" s="4">
        <is>
          <t xml:space="preserve">Customers by month 12</t>
        </is>
      </c>
      <c r="G4" t="inlineStr" s="4">
        <is>
          <t xml:space="preserve">Customers by month 24</t>
        </is>
      </c>
    </row>
    <row r="5">
      <c r="A5" t="inlineStr" s="5">
        <is>
          <t xml:space="preserve">Starter</t>
        </is>
      </c>
      <c r="B5" s="14">
        <f>99</f>
        <v>99</v>
      </c>
      <c r="C5" s="15">
        <f>8</f>
        <v>8</v>
      </c>
      <c r="D5" s="15">
        <f>0</f>
        <v>0</v>
      </c>
      <c r="E5" s="15">
        <f>5</f>
        <v>5</v>
      </c>
      <c r="F5" s="15">
        <f>15</f>
        <v>15</v>
      </c>
      <c r="G5" s="15">
        <f>40</f>
        <v>40</v>
      </c>
    </row>
    <row r="6">
      <c r="A6" t="inlineStr" s="5">
        <is>
          <t xml:space="preserve">Team</t>
        </is>
      </c>
      <c r="B6" s="14">
        <f>399</f>
        <v>399</v>
      </c>
      <c r="C6" s="15">
        <f>40</f>
        <v>40</v>
      </c>
      <c r="D6" s="15">
        <f>0</f>
        <v>0</v>
      </c>
      <c r="E6" s="15">
        <f>1</f>
        <v>1</v>
      </c>
      <c r="F6" s="15">
        <f>3</f>
        <v>3</v>
      </c>
      <c r="G6" s="15">
        <f>10</f>
        <v>10</v>
      </c>
    </row>
  </sheetData>
  <mergeCells count="1">
    <mergeCell ref="A1:G1"/>
  </mergeCells>
</worksheet>
</file>